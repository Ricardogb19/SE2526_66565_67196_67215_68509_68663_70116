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guilh\Documents\Universidade\ES\Projeto\SE2526_66565_67196_67215_68509_68663_70116\SE202526\Management\"/>
    </mc:Choice>
  </mc:AlternateContent>
  <xr:revisionPtr revIDLastSave="0" documentId="13_ncr:1_{5C3900FA-4D84-4E49-8762-D8051B0A6729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Burndown Chart" sheetId="1" r:id="rId1"/>
    <sheet name="Burndown Chart Sprint 5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1" i="2" l="1"/>
  <c r="E21" i="2" s="1"/>
  <c r="F21" i="2" s="1"/>
  <c r="G21" i="2" s="1"/>
  <c r="H21" i="2" s="1"/>
  <c r="I21" i="2" s="1"/>
  <c r="J21" i="2" s="1"/>
  <c r="K21" i="2" s="1"/>
  <c r="L21" i="2" s="1"/>
  <c r="L20" i="2"/>
  <c r="K20" i="2"/>
  <c r="J20" i="2"/>
  <c r="I20" i="2"/>
  <c r="H20" i="2"/>
  <c r="G20" i="2"/>
  <c r="F20" i="2"/>
  <c r="E20" i="2"/>
  <c r="D22" i="1"/>
  <c r="L22" i="1" s="1"/>
  <c r="D21" i="1"/>
  <c r="E21" i="1" s="1"/>
  <c r="F21" i="1" s="1"/>
  <c r="G21" i="1" s="1"/>
  <c r="H21" i="1" s="1"/>
  <c r="I21" i="1" s="1"/>
  <c r="J21" i="1" s="1"/>
  <c r="K21" i="1" s="1"/>
  <c r="L21" i="1" s="1"/>
  <c r="L20" i="1"/>
  <c r="K20" i="1"/>
  <c r="J20" i="1"/>
  <c r="I20" i="1"/>
  <c r="H20" i="1"/>
  <c r="G20" i="1"/>
  <c r="F20" i="1"/>
  <c r="E20" i="1"/>
  <c r="D22" i="2" l="1"/>
  <c r="E22" i="2" s="1"/>
  <c r="E22" i="1"/>
  <c r="F22" i="1"/>
  <c r="G22" i="1"/>
  <c r="H22" i="1"/>
  <c r="I22" i="1"/>
  <c r="J22" i="1"/>
  <c r="K22" i="1"/>
  <c r="J22" i="2" l="1"/>
  <c r="H22" i="2"/>
  <c r="I22" i="2"/>
  <c r="G22" i="2"/>
  <c r="F22" i="2"/>
  <c r="L22" i="2"/>
  <c r="K22" i="2"/>
</calcChain>
</file>

<file path=xl/sharedStrings.xml><?xml version="1.0" encoding="utf-8"?>
<sst xmlns="http://schemas.openxmlformats.org/spreadsheetml/2006/main" count="41" uniqueCount="24">
  <si>
    <t>Sprint Burndown Chart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</si>
  <si>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</si>
  <si>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</si>
  <si>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</si>
  <si>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</si>
  <si>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</si>
  <si>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</si>
  <si>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</si>
  <si>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</si>
  <si>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</si>
  <si>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</si>
  <si>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</si>
  <si>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</si>
  <si>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Find Code Smells</t>
  </si>
  <si>
    <t>Find Design Patterns</t>
  </si>
  <si>
    <t>Create Use Cases</t>
  </si>
  <si>
    <t>Produce Code Metrics</t>
  </si>
  <si>
    <t>Review Work</t>
  </si>
  <si>
    <t>Esforço Completo</t>
  </si>
  <si>
    <t>Esforço Restante</t>
  </si>
  <si>
    <r>
      <rPr>
        <b/>
        <i/>
        <sz val="11"/>
        <color theme="1"/>
        <rFont val="Calibri"/>
        <family val="2"/>
        <charset val="1"/>
      </rPr>
      <t xml:space="preserve">Burndown </t>
    </r>
    <r>
      <rPr>
        <b/>
        <sz val="11"/>
        <color theme="1"/>
        <rFont val="Calibri"/>
        <family val="2"/>
        <charset val="1"/>
      </rPr>
      <t>Ideal</t>
    </r>
  </si>
  <si>
    <t>Analyze the code relative to the two first User Stories</t>
  </si>
  <si>
    <t>Implement User Stories 1 and 2</t>
  </si>
  <si>
    <t>Produce videos/tests and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</si>
</sst>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charset val="1"/>
    </font>
    <font>
      <sz val="16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</font>
    <font>
      <b/>
      <i/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757575"/>
      </patternFill>
    </fill>
    <fill>
      <patternFill patternType="solid">
        <fgColor rgb="FFF7CAAC"/>
        <bgColor rgb="FFD0CECE"/>
      </patternFill>
    </fill>
    <fill>
      <patternFill patternType="solid">
        <fgColor rgb="FFD0CECE"/>
        <bgColor rgb="FFD8D8D8"/>
      </patternFill>
    </fill>
    <fill>
      <patternFill patternType="solid">
        <fgColor rgb="FFF2F2F2"/>
        <bgColor rgb="FFFFFFFF"/>
      </patternFill>
    </fill>
    <fill>
      <patternFill patternType="solid">
        <fgColor rgb="FFD8D8D8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rgb="FFFEF2CB"/>
        <bgColor rgb="FFF2F2F2"/>
      </patternFill>
    </fill>
    <fill>
      <patternFill patternType="solid">
        <fgColor rgb="FFB4C6E7"/>
        <bgColor rgb="FFD0CECE"/>
      </patternFill>
    </fill>
    <fill>
      <patternFill patternType="solid">
        <fgColor rgb="FFC5E0B3"/>
        <bgColor rgb="FFD8D8D8"/>
      </patternFill>
    </fill>
  </fills>
  <borders count="3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6" fillId="10" borderId="33" xfId="0" applyFont="1" applyFill="1" applyBorder="1" applyAlignment="1">
      <alignment horizontal="center"/>
    </xf>
    <xf numFmtId="0" fontId="3" fillId="9" borderId="15" xfId="0" applyFont="1" applyFill="1" applyBorder="1" applyAlignment="1">
      <alignment horizontal="center"/>
    </xf>
    <xf numFmtId="0" fontId="3" fillId="8" borderId="30" xfId="0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3" xfId="0" applyFont="1" applyBorder="1"/>
    <xf numFmtId="0" fontId="4" fillId="0" borderId="3" xfId="0" applyFont="1" applyBorder="1"/>
    <xf numFmtId="0" fontId="4" fillId="0" borderId="4" xfId="0" applyFont="1" applyBorder="1"/>
    <xf numFmtId="0" fontId="3" fillId="4" borderId="7" xfId="0" applyFont="1" applyFill="1" applyBorder="1" applyAlignment="1">
      <alignment horizontal="center"/>
    </xf>
    <xf numFmtId="15" fontId="3" fillId="3" borderId="8" xfId="0" applyNumberFormat="1" applyFont="1" applyFill="1" applyBorder="1" applyAlignment="1">
      <alignment horizontal="center"/>
    </xf>
    <xf numFmtId="15" fontId="3" fillId="3" borderId="9" xfId="0" applyNumberFormat="1" applyFont="1" applyFill="1" applyBorder="1" applyAlignment="1">
      <alignment horizontal="center"/>
    </xf>
    <xf numFmtId="15" fontId="3" fillId="3" borderId="10" xfId="0" applyNumberFormat="1" applyFont="1" applyFill="1" applyBorder="1" applyAlignment="1">
      <alignment horizontal="center"/>
    </xf>
    <xf numFmtId="0" fontId="3" fillId="4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right" wrapText="1"/>
    </xf>
    <xf numFmtId="0" fontId="2" fillId="5" borderId="16" xfId="0" applyFont="1" applyFill="1" applyBorder="1" applyAlignment="1">
      <alignment horizontal="center" wrapText="1"/>
    </xf>
    <xf numFmtId="0" fontId="2" fillId="6" borderId="17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2" fillId="7" borderId="18" xfId="0" applyFont="1" applyFill="1" applyBorder="1" applyAlignment="1">
      <alignment horizontal="center"/>
    </xf>
    <xf numFmtId="0" fontId="2" fillId="7" borderId="19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right" wrapText="1"/>
    </xf>
    <xf numFmtId="0" fontId="2" fillId="5" borderId="21" xfId="0" applyFont="1" applyFill="1" applyBorder="1" applyAlignment="1">
      <alignment horizontal="center" wrapText="1"/>
    </xf>
    <xf numFmtId="0" fontId="2" fillId="6" borderId="22" xfId="0" applyFont="1" applyFill="1" applyBorder="1" applyAlignment="1">
      <alignment horizontal="center"/>
    </xf>
    <xf numFmtId="0" fontId="2" fillId="7" borderId="21" xfId="0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0" fontId="2" fillId="7" borderId="24" xfId="0" applyFont="1" applyFill="1" applyBorder="1" applyAlignment="1">
      <alignment horizontal="center"/>
    </xf>
    <xf numFmtId="0" fontId="5" fillId="5" borderId="21" xfId="0" applyFont="1" applyFill="1" applyBorder="1" applyAlignment="1">
      <alignment horizontal="center" wrapText="1"/>
    </xf>
    <xf numFmtId="0" fontId="2" fillId="5" borderId="21" xfId="0" applyFont="1" applyFill="1" applyBorder="1" applyAlignment="1">
      <alignment wrapText="1"/>
    </xf>
    <xf numFmtId="0" fontId="2" fillId="5" borderId="21" xfId="0" applyFont="1" applyFill="1" applyBorder="1" applyAlignment="1">
      <alignment horizontal="left" wrapText="1"/>
    </xf>
    <xf numFmtId="0" fontId="2" fillId="5" borderId="25" xfId="0" applyFont="1" applyFill="1" applyBorder="1" applyAlignment="1">
      <alignment horizontal="right" wrapText="1"/>
    </xf>
    <xf numFmtId="0" fontId="2" fillId="5" borderId="26" xfId="0" applyFont="1" applyFill="1" applyBorder="1" applyAlignment="1">
      <alignment wrapText="1"/>
    </xf>
    <xf numFmtId="0" fontId="2" fillId="6" borderId="27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0" fontId="2" fillId="7" borderId="29" xfId="0" applyFont="1" applyFill="1" applyBorder="1" applyAlignment="1">
      <alignment horizontal="center"/>
    </xf>
    <xf numFmtId="0" fontId="2" fillId="8" borderId="7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1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9" borderId="22" xfId="0" applyFont="1" applyFill="1" applyBorder="1" applyAlignment="1">
      <alignment horizontal="center"/>
    </xf>
    <xf numFmtId="164" fontId="2" fillId="9" borderId="21" xfId="0" applyNumberFormat="1" applyFont="1" applyFill="1" applyBorder="1" applyAlignment="1">
      <alignment horizontal="center"/>
    </xf>
    <xf numFmtId="164" fontId="2" fillId="9" borderId="18" xfId="0" applyNumberFormat="1" applyFont="1" applyFill="1" applyBorder="1" applyAlignment="1">
      <alignment horizontal="center"/>
    </xf>
    <xf numFmtId="164" fontId="2" fillId="9" borderId="32" xfId="0" applyNumberFormat="1" applyFont="1" applyFill="1" applyBorder="1" applyAlignment="1">
      <alignment horizontal="center"/>
    </xf>
    <xf numFmtId="164" fontId="2" fillId="9" borderId="19" xfId="0" applyNumberFormat="1" applyFont="1" applyFill="1" applyBorder="1" applyAlignment="1">
      <alignment horizontal="center"/>
    </xf>
    <xf numFmtId="0" fontId="2" fillId="10" borderId="11" xfId="0" applyFont="1" applyFill="1" applyBorder="1" applyAlignment="1">
      <alignment horizontal="center"/>
    </xf>
    <xf numFmtId="164" fontId="2" fillId="10" borderId="12" xfId="0" applyNumberFormat="1" applyFont="1" applyFill="1" applyBorder="1" applyAlignment="1">
      <alignment horizontal="center"/>
    </xf>
    <xf numFmtId="164" fontId="2" fillId="10" borderId="13" xfId="0" applyNumberFormat="1" applyFont="1" applyFill="1" applyBorder="1" applyAlignment="1">
      <alignment horizontal="center"/>
    </xf>
    <xf numFmtId="164" fontId="2" fillId="10" borderId="14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135"/>
      <rgbColor rgb="FF800080"/>
      <rgbColor rgb="FF008080"/>
      <rgbColor rgb="FFB7B7B7"/>
      <rgbColor rgb="FF757575"/>
      <rgbColor rgb="FF5B9BD5"/>
      <rgbColor rgb="FF993366"/>
      <rgbColor rgb="FFFEF2CB"/>
      <rgbColor rgb="FFF2F2F2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5E0B3"/>
      <rgbColor rgb="FFD8D8D8"/>
      <rgbColor rgb="FFD0CECE"/>
      <rgbColor rgb="FFFF99CC"/>
      <rgbColor rgb="FFCC99FF"/>
      <rgbColor rgb="FFF7CAAC"/>
      <rgbColor rgb="FF3366FF"/>
      <rgbColor rgb="FF33CCCC"/>
      <rgbColor rgb="FF99CC00"/>
      <rgbColor rgb="FFFFC000"/>
      <rgbColor rgb="FFFF9900"/>
      <rgbColor rgb="FFFF6600"/>
      <rgbColor rgb="FF666699"/>
      <rgbColor rgb="FF8B8B8B"/>
      <rgbColor rgb="FF003366"/>
      <rgbColor rgb="FF00B050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PT" sz="1400" b="0" u="none" strike="noStrik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Esforço Completo</c:v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'Burndown Chart'!$D$5:$L$5</c:f>
              <c:strCache>
                <c:ptCount val="9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</c:strCache>
            </c:strRef>
          </c:cat>
          <c:val>
            <c:numRef>
              <c:f>'Burndown Chart'!$D$20:$L$20</c:f>
              <c:numCache>
                <c:formatCode>General</c:formatCode>
                <c:ptCount val="9"/>
                <c:pt idx="0">
                  <c:v>0</c:v>
                </c:pt>
                <c:pt idx="1">
                  <c:v>0.2</c:v>
                </c:pt>
                <c:pt idx="2">
                  <c:v>0.2</c:v>
                </c:pt>
                <c:pt idx="3">
                  <c:v>0.4</c:v>
                </c:pt>
                <c:pt idx="4">
                  <c:v>0.8</c:v>
                </c:pt>
                <c:pt idx="5">
                  <c:v>0.6</c:v>
                </c:pt>
                <c:pt idx="6">
                  <c:v>1.8</c:v>
                </c:pt>
                <c:pt idx="7">
                  <c:v>3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DF-4757-8C4E-97B55E1A4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6659859"/>
        <c:axId val="10455904"/>
      </c:barChart>
      <c:lineChart>
        <c:grouping val="stacked"/>
        <c:varyColors val="0"/>
        <c:ser>
          <c:idx val="1"/>
          <c:order val="1"/>
          <c:tx>
            <c:v>Esforço Restante</c:v>
          </c:tx>
          <c:spPr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'Burndown Chart'!$D$5:$L$5</c:f>
              <c:strCache>
                <c:ptCount val="9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</c:strCache>
            </c:strRef>
          </c:cat>
          <c:val>
            <c:numRef>
              <c:f>'Burndown Chart'!$D$21:$L$21</c:f>
              <c:numCache>
                <c:formatCode>0.0</c:formatCode>
                <c:ptCount val="9"/>
                <c:pt idx="0" formatCode="General">
                  <c:v>8</c:v>
                </c:pt>
                <c:pt idx="1">
                  <c:v>7.8</c:v>
                </c:pt>
                <c:pt idx="2">
                  <c:v>7.6</c:v>
                </c:pt>
                <c:pt idx="3">
                  <c:v>7.1999999999999993</c:v>
                </c:pt>
                <c:pt idx="4">
                  <c:v>6.3999999999999995</c:v>
                </c:pt>
                <c:pt idx="5">
                  <c:v>5.8</c:v>
                </c:pt>
                <c:pt idx="6">
                  <c:v>4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DF-4757-8C4E-97B55E1A481E}"/>
            </c:ext>
          </c:extLst>
        </c:ser>
        <c:ser>
          <c:idx val="2"/>
          <c:order val="2"/>
          <c:tx>
            <c:v>Burndown Ideal</c:v>
          </c:tx>
          <c:spPr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'Burndown Chart'!$D$5:$L$5</c:f>
              <c:strCache>
                <c:ptCount val="9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</c:strCache>
            </c:strRef>
          </c:cat>
          <c:val>
            <c:numRef>
              <c:f>'Burndown Chart'!$D$22:$L$22</c:f>
              <c:numCache>
                <c:formatCode>0.0</c:formatCode>
                <c:ptCount val="9"/>
                <c:pt idx="0" formatCode="General">
                  <c:v>8</c:v>
                </c:pt>
                <c:pt idx="1">
                  <c:v>7.2</c:v>
                </c:pt>
                <c:pt idx="2">
                  <c:v>6.4</c:v>
                </c:pt>
                <c:pt idx="3">
                  <c:v>5.6</c:v>
                </c:pt>
                <c:pt idx="4">
                  <c:v>4.8</c:v>
                </c:pt>
                <c:pt idx="5">
                  <c:v>4</c:v>
                </c:pt>
                <c:pt idx="6">
                  <c:v>3.1999999999999993</c:v>
                </c:pt>
                <c:pt idx="7">
                  <c:v>2.3999999999999995</c:v>
                </c:pt>
                <c:pt idx="8">
                  <c:v>1.5999999999999996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DF-4757-8C4E-97B55E1A4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6659859"/>
        <c:axId val="10455904"/>
      </c:lineChart>
      <c:catAx>
        <c:axId val="3665985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n-US"/>
          </a:p>
        </c:txPr>
        <c:crossAx val="10455904"/>
        <c:crosses val="autoZero"/>
        <c:auto val="1"/>
        <c:lblAlgn val="ctr"/>
        <c:lblOffset val="100"/>
        <c:noMultiLvlLbl val="0"/>
      </c:catAx>
      <c:valAx>
        <c:axId val="10455904"/>
        <c:scaling>
          <c:orientation val="minMax"/>
          <c:max val="22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pt-PT"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n-US"/>
          </a:p>
        </c:txPr>
        <c:crossAx val="3665985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1A1A1A"/>
              </a:solidFill>
              <a:uFillTx/>
              <a:latin typeface="Calibri"/>
              <a:ea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PT" sz="1400" b="0" u="none" strike="noStrik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Esforço Completo</c:v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'Burndown Chart Sprint 5'!$D$5:$L$5</c:f>
              <c:strCache>
                <c:ptCount val="9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</c:strCache>
            </c:strRef>
          </c:cat>
          <c:val>
            <c:numRef>
              <c:f>'Burndown Chart Sprint 5'!$D$20:$L$20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5C-497D-B1A4-B35278365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6659859"/>
        <c:axId val="10455904"/>
      </c:barChart>
      <c:lineChart>
        <c:grouping val="stacked"/>
        <c:varyColors val="0"/>
        <c:ser>
          <c:idx val="1"/>
          <c:order val="1"/>
          <c:tx>
            <c:v>Esforço Restante</c:v>
          </c:tx>
          <c:spPr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'Burndown Chart Sprint 5'!$D$5:$L$5</c:f>
              <c:strCache>
                <c:ptCount val="9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</c:strCache>
            </c:strRef>
          </c:cat>
          <c:val>
            <c:numRef>
              <c:f>'Burndown Chart Sprint 5'!$D$21:$L$21</c:f>
              <c:numCache>
                <c:formatCode>0.0</c:formatCode>
                <c:ptCount val="9"/>
                <c:pt idx="0" formatCode="General">
                  <c:v>19</c:v>
                </c:pt>
                <c:pt idx="1">
                  <c:v>16</c:v>
                </c:pt>
                <c:pt idx="2">
                  <c:v>10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5C-497D-B1A4-B35278365936}"/>
            </c:ext>
          </c:extLst>
        </c:ser>
        <c:ser>
          <c:idx val="2"/>
          <c:order val="2"/>
          <c:tx>
            <c:v>Burndown Ideal</c:v>
          </c:tx>
          <c:spPr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'Burndown Chart Sprint 5'!$D$5:$L$5</c:f>
              <c:strCache>
                <c:ptCount val="9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</c:strCache>
            </c:strRef>
          </c:cat>
          <c:val>
            <c:numRef>
              <c:f>'Burndown Chart Sprint 5'!$D$22:$L$22</c:f>
              <c:numCache>
                <c:formatCode>0.0</c:formatCode>
                <c:ptCount val="9"/>
                <c:pt idx="0" formatCode="General">
                  <c:v>19</c:v>
                </c:pt>
                <c:pt idx="1">
                  <c:v>17.100000000000001</c:v>
                </c:pt>
                <c:pt idx="2">
                  <c:v>15.2</c:v>
                </c:pt>
                <c:pt idx="3">
                  <c:v>13.3</c:v>
                </c:pt>
                <c:pt idx="4">
                  <c:v>11.4</c:v>
                </c:pt>
                <c:pt idx="5">
                  <c:v>9.5</c:v>
                </c:pt>
                <c:pt idx="6">
                  <c:v>7.6000000000000014</c:v>
                </c:pt>
                <c:pt idx="7">
                  <c:v>5.7000000000000011</c:v>
                </c:pt>
                <c:pt idx="8">
                  <c:v>3.8000000000000007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5C-497D-B1A4-B35278365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6659859"/>
        <c:axId val="10455904"/>
      </c:lineChart>
      <c:catAx>
        <c:axId val="3665985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n-US"/>
          </a:p>
        </c:txPr>
        <c:crossAx val="10455904"/>
        <c:crosses val="autoZero"/>
        <c:auto val="1"/>
        <c:lblAlgn val="ctr"/>
        <c:lblOffset val="100"/>
        <c:noMultiLvlLbl val="0"/>
      </c:catAx>
      <c:valAx>
        <c:axId val="10455904"/>
        <c:scaling>
          <c:orientation val="minMax"/>
          <c:max val="22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pt-PT"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n-US"/>
          </a:p>
        </c:txPr>
        <c:crossAx val="3665985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1A1A1A"/>
              </a:solidFill>
              <a:uFillTx/>
              <a:latin typeface="Calibri"/>
              <a:ea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22</xdr:row>
      <xdr:rowOff>171360</xdr:rowOff>
    </xdr:from>
    <xdr:to>
      <xdr:col>6</xdr:col>
      <xdr:colOff>367200</xdr:colOff>
      <xdr:row>49</xdr:row>
      <xdr:rowOff>171000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22</xdr:row>
      <xdr:rowOff>171360</xdr:rowOff>
    </xdr:from>
    <xdr:to>
      <xdr:col>6</xdr:col>
      <xdr:colOff>367200</xdr:colOff>
      <xdr:row>49</xdr:row>
      <xdr:rowOff>171000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642068-F88C-4308-A53B-7B63A3BEEA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1000"/>
  <sheetViews>
    <sheetView zoomScale="85" zoomScaleNormal="85" workbookViewId="0">
      <selection activeCell="T8" sqref="T8"/>
    </sheetView>
  </sheetViews>
  <sheetFormatPr defaultColWidth="14.453125" defaultRowHeight="15" customHeight="1" x14ac:dyDescent="0.35"/>
  <cols>
    <col min="1" max="1" width="8.7265625" customWidth="1"/>
    <col min="2" max="2" width="7.1796875" customWidth="1"/>
    <col min="3" max="3" width="73.08984375" customWidth="1"/>
    <col min="4" max="4" width="15.7265625" customWidth="1"/>
    <col min="5" max="14" width="10" customWidth="1"/>
    <col min="15" max="26" width="8.7265625" customWidth="1"/>
  </cols>
  <sheetData>
    <row r="1" spans="2:12" ht="14.25" customHeight="1" x14ac:dyDescent="0.35"/>
    <row r="2" spans="2:12" ht="14.25" customHeight="1" x14ac:dyDescent="0.35">
      <c r="B2" s="7" t="s">
        <v>0</v>
      </c>
      <c r="C2" s="7"/>
      <c r="D2" s="7"/>
      <c r="E2" s="7"/>
      <c r="F2" s="7"/>
      <c r="G2" s="7"/>
      <c r="H2" s="7"/>
      <c r="I2" s="7"/>
      <c r="J2" s="7"/>
      <c r="K2" s="7"/>
      <c r="L2" s="7"/>
    </row>
    <row r="3" spans="2:12" ht="14.25" customHeight="1" x14ac:dyDescent="0.35">
      <c r="B3" s="8"/>
      <c r="C3" s="9"/>
      <c r="D3" s="9"/>
      <c r="E3" s="6"/>
      <c r="F3" s="6"/>
      <c r="G3" s="6"/>
      <c r="H3" s="6"/>
      <c r="I3" s="6"/>
      <c r="J3" s="10"/>
      <c r="K3" s="11"/>
      <c r="L3" s="12"/>
    </row>
    <row r="4" spans="2:12" ht="14.25" customHeight="1" x14ac:dyDescent="0.35">
      <c r="B4" s="5" t="s">
        <v>1</v>
      </c>
      <c r="C4" s="4" t="s">
        <v>2</v>
      </c>
      <c r="D4" s="13" t="s">
        <v>3</v>
      </c>
      <c r="E4" s="14">
        <v>45961</v>
      </c>
      <c r="F4" s="14">
        <v>45962</v>
      </c>
      <c r="G4" s="14">
        <v>45963</v>
      </c>
      <c r="H4" s="14">
        <v>45964</v>
      </c>
      <c r="I4" s="14">
        <v>45965</v>
      </c>
      <c r="J4" s="15">
        <v>45966</v>
      </c>
      <c r="K4" s="14">
        <v>45967</v>
      </c>
      <c r="L4" s="16">
        <v>45968</v>
      </c>
    </row>
    <row r="5" spans="2:12" ht="14.25" customHeight="1" x14ac:dyDescent="0.35">
      <c r="B5" s="5"/>
      <c r="C5" s="4"/>
      <c r="D5" s="17" t="s">
        <v>4</v>
      </c>
      <c r="E5" s="18" t="s">
        <v>5</v>
      </c>
      <c r="F5" s="18" t="s">
        <v>6</v>
      </c>
      <c r="G5" s="18" t="s">
        <v>7</v>
      </c>
      <c r="H5" s="18" t="s">
        <v>8</v>
      </c>
      <c r="I5" s="18" t="s">
        <v>9</v>
      </c>
      <c r="J5" s="19" t="s">
        <v>10</v>
      </c>
      <c r="K5" s="18" t="s">
        <v>11</v>
      </c>
      <c r="L5" s="20" t="s">
        <v>12</v>
      </c>
    </row>
    <row r="6" spans="2:12" ht="14.25" customHeight="1" x14ac:dyDescent="0.35">
      <c r="B6" s="21">
        <v>1</v>
      </c>
      <c r="C6" s="22" t="s">
        <v>13</v>
      </c>
      <c r="D6" s="23">
        <v>1</v>
      </c>
      <c r="E6" s="24">
        <v>0.2</v>
      </c>
      <c r="F6" s="24">
        <v>0.2</v>
      </c>
      <c r="G6" s="24">
        <v>0.2</v>
      </c>
      <c r="H6" s="24">
        <v>0.4</v>
      </c>
      <c r="I6" s="24"/>
      <c r="J6" s="25"/>
      <c r="K6" s="24"/>
      <c r="L6" s="26"/>
    </row>
    <row r="7" spans="2:12" ht="14.25" customHeight="1" x14ac:dyDescent="0.35">
      <c r="B7" s="27">
        <v>2</v>
      </c>
      <c r="C7" s="28" t="s">
        <v>14</v>
      </c>
      <c r="D7" s="29">
        <v>3</v>
      </c>
      <c r="E7" s="30"/>
      <c r="F7" s="30"/>
      <c r="G7" s="30">
        <v>0.2</v>
      </c>
      <c r="H7" s="30">
        <v>0.4</v>
      </c>
      <c r="I7" s="30">
        <v>0.6</v>
      </c>
      <c r="J7" s="31">
        <v>0.8</v>
      </c>
      <c r="K7" s="30">
        <v>1</v>
      </c>
      <c r="L7" s="32"/>
    </row>
    <row r="8" spans="2:12" ht="14.25" customHeight="1" x14ac:dyDescent="0.35">
      <c r="B8" s="27">
        <v>3</v>
      </c>
      <c r="C8" s="28" t="s">
        <v>15</v>
      </c>
      <c r="D8" s="29">
        <v>1</v>
      </c>
      <c r="E8" s="30"/>
      <c r="F8" s="30"/>
      <c r="G8" s="30"/>
      <c r="H8" s="30"/>
      <c r="I8" s="30"/>
      <c r="J8" s="31">
        <v>1</v>
      </c>
      <c r="K8" s="30"/>
      <c r="L8" s="32"/>
    </row>
    <row r="9" spans="2:12" ht="14.25" customHeight="1" x14ac:dyDescent="0.35">
      <c r="B9" s="27">
        <v>4</v>
      </c>
      <c r="C9" s="33" t="s">
        <v>16</v>
      </c>
      <c r="D9" s="29">
        <v>2</v>
      </c>
      <c r="E9" s="30"/>
      <c r="F9" s="30"/>
      <c r="G9" s="30"/>
      <c r="H9" s="30"/>
      <c r="I9" s="30"/>
      <c r="J9" s="31"/>
      <c r="K9" s="30">
        <v>2</v>
      </c>
      <c r="L9" s="32"/>
    </row>
    <row r="10" spans="2:12" ht="14.25" customHeight="1" x14ac:dyDescent="0.35">
      <c r="B10" s="27">
        <v>5</v>
      </c>
      <c r="C10" s="28" t="s">
        <v>17</v>
      </c>
      <c r="D10" s="29">
        <v>1</v>
      </c>
      <c r="E10" s="30"/>
      <c r="F10" s="30"/>
      <c r="G10" s="30"/>
      <c r="H10" s="30"/>
      <c r="I10" s="30"/>
      <c r="J10" s="31"/>
      <c r="K10" s="30"/>
      <c r="L10" s="32">
        <v>1</v>
      </c>
    </row>
    <row r="11" spans="2:12" ht="14.25" customHeight="1" x14ac:dyDescent="0.35">
      <c r="B11" s="27">
        <v>6</v>
      </c>
      <c r="C11" s="34"/>
      <c r="D11" s="29"/>
      <c r="E11" s="30"/>
      <c r="F11" s="30"/>
      <c r="G11" s="30"/>
      <c r="H11" s="30"/>
      <c r="I11" s="30"/>
      <c r="J11" s="31"/>
      <c r="K11" s="30"/>
      <c r="L11" s="32"/>
    </row>
    <row r="12" spans="2:12" ht="14.25" customHeight="1" x14ac:dyDescent="0.35">
      <c r="B12" s="27">
        <v>7</v>
      </c>
      <c r="C12" s="34"/>
      <c r="D12" s="29"/>
      <c r="E12" s="30"/>
      <c r="F12" s="30"/>
      <c r="G12" s="30"/>
      <c r="H12" s="30"/>
      <c r="I12" s="30"/>
      <c r="J12" s="31"/>
      <c r="K12" s="30"/>
      <c r="L12" s="32"/>
    </row>
    <row r="13" spans="2:12" ht="14.25" customHeight="1" x14ac:dyDescent="0.35">
      <c r="B13" s="27">
        <v>8</v>
      </c>
      <c r="C13" s="34"/>
      <c r="D13" s="29"/>
      <c r="E13" s="30"/>
      <c r="F13" s="30"/>
      <c r="G13" s="30"/>
      <c r="H13" s="30"/>
      <c r="I13" s="30"/>
      <c r="J13" s="31"/>
      <c r="K13" s="30"/>
      <c r="L13" s="32"/>
    </row>
    <row r="14" spans="2:12" ht="14.25" customHeight="1" x14ac:dyDescent="0.35">
      <c r="B14" s="27">
        <v>9</v>
      </c>
      <c r="C14" s="34"/>
      <c r="D14" s="29"/>
      <c r="E14" s="30"/>
      <c r="F14" s="30"/>
      <c r="G14" s="30"/>
      <c r="H14" s="30"/>
      <c r="I14" s="30"/>
      <c r="J14" s="31"/>
      <c r="K14" s="30"/>
      <c r="L14" s="32"/>
    </row>
    <row r="15" spans="2:12" ht="14.25" customHeight="1" x14ac:dyDescent="0.35">
      <c r="B15" s="27">
        <v>10</v>
      </c>
      <c r="C15" s="34"/>
      <c r="D15" s="29"/>
      <c r="E15" s="30"/>
      <c r="F15" s="30"/>
      <c r="G15" s="30"/>
      <c r="H15" s="30"/>
      <c r="I15" s="30"/>
      <c r="J15" s="31"/>
      <c r="K15" s="30"/>
      <c r="L15" s="32"/>
    </row>
    <row r="16" spans="2:12" ht="14.25" customHeight="1" x14ac:dyDescent="0.35">
      <c r="B16" s="27">
        <v>11</v>
      </c>
      <c r="C16" s="35"/>
      <c r="D16" s="29"/>
      <c r="E16" s="30"/>
      <c r="F16" s="30"/>
      <c r="G16" s="30"/>
      <c r="H16" s="30"/>
      <c r="I16" s="30"/>
      <c r="J16" s="31"/>
      <c r="K16" s="30"/>
      <c r="L16" s="32"/>
    </row>
    <row r="17" spans="2:12" ht="14.25" customHeight="1" x14ac:dyDescent="0.35">
      <c r="B17" s="27">
        <v>12</v>
      </c>
      <c r="C17" s="34"/>
      <c r="D17" s="29"/>
      <c r="E17" s="30"/>
      <c r="F17" s="30"/>
      <c r="G17" s="30"/>
      <c r="H17" s="30"/>
      <c r="I17" s="30"/>
      <c r="J17" s="31"/>
      <c r="K17" s="30"/>
      <c r="L17" s="32"/>
    </row>
    <row r="18" spans="2:12" ht="14.25" customHeight="1" x14ac:dyDescent="0.35">
      <c r="B18" s="27">
        <v>13</v>
      </c>
      <c r="C18" s="34"/>
      <c r="D18" s="29"/>
      <c r="E18" s="30"/>
      <c r="F18" s="30"/>
      <c r="G18" s="30"/>
      <c r="H18" s="30"/>
      <c r="I18" s="30"/>
      <c r="J18" s="31"/>
      <c r="K18" s="30"/>
      <c r="L18" s="32"/>
    </row>
    <row r="19" spans="2:12" ht="14.25" customHeight="1" x14ac:dyDescent="0.35">
      <c r="B19" s="36">
        <v>14</v>
      </c>
      <c r="C19" s="37"/>
      <c r="D19" s="38"/>
      <c r="E19" s="39"/>
      <c r="F19" s="39"/>
      <c r="G19" s="39"/>
      <c r="H19" s="39"/>
      <c r="I19" s="39"/>
      <c r="J19" s="40"/>
      <c r="K19" s="39"/>
      <c r="L19" s="41"/>
    </row>
    <row r="20" spans="2:12" ht="14.25" customHeight="1" x14ac:dyDescent="0.35">
      <c r="B20" s="3" t="s">
        <v>18</v>
      </c>
      <c r="C20" s="3"/>
      <c r="D20" s="42">
        <v>0</v>
      </c>
      <c r="E20" s="43">
        <f t="shared" ref="E20:L20" si="0">SUM(E6:E19)</f>
        <v>0.2</v>
      </c>
      <c r="F20" s="43">
        <f t="shared" si="0"/>
        <v>0.2</v>
      </c>
      <c r="G20" s="43">
        <f t="shared" si="0"/>
        <v>0.4</v>
      </c>
      <c r="H20" s="43">
        <f t="shared" si="0"/>
        <v>0.8</v>
      </c>
      <c r="I20" s="43">
        <f t="shared" si="0"/>
        <v>0.6</v>
      </c>
      <c r="J20" s="44">
        <f t="shared" si="0"/>
        <v>1.8</v>
      </c>
      <c r="K20" s="44">
        <f t="shared" si="0"/>
        <v>3</v>
      </c>
      <c r="L20" s="45">
        <f t="shared" si="0"/>
        <v>1</v>
      </c>
    </row>
    <row r="21" spans="2:12" ht="14.25" customHeight="1" x14ac:dyDescent="0.35">
      <c r="B21" s="2" t="s">
        <v>19</v>
      </c>
      <c r="C21" s="2"/>
      <c r="D21" s="46">
        <f>SUM(D6:D20)</f>
        <v>8</v>
      </c>
      <c r="E21" s="47">
        <f t="shared" ref="E21:L21" si="1">D21-SUM(E6:E19)</f>
        <v>7.8</v>
      </c>
      <c r="F21" s="47">
        <f t="shared" si="1"/>
        <v>7.6</v>
      </c>
      <c r="G21" s="47">
        <f t="shared" si="1"/>
        <v>7.1999999999999993</v>
      </c>
      <c r="H21" s="47">
        <f t="shared" si="1"/>
        <v>6.3999999999999995</v>
      </c>
      <c r="I21" s="47">
        <f t="shared" si="1"/>
        <v>5.8</v>
      </c>
      <c r="J21" s="48">
        <f t="shared" si="1"/>
        <v>4</v>
      </c>
      <c r="K21" s="49">
        <f t="shared" si="1"/>
        <v>1</v>
      </c>
      <c r="L21" s="50">
        <f t="shared" si="1"/>
        <v>0</v>
      </c>
    </row>
    <row r="22" spans="2:12" ht="14.25" customHeight="1" x14ac:dyDescent="0.35">
      <c r="B22" s="1" t="s">
        <v>20</v>
      </c>
      <c r="C22" s="1"/>
      <c r="D22" s="51">
        <f>D21</f>
        <v>8</v>
      </c>
      <c r="E22" s="52">
        <f>$D$22-($D$22/10*1)</f>
        <v>7.2</v>
      </c>
      <c r="F22" s="52">
        <f>$D$22-($D$22/10*2)</f>
        <v>6.4</v>
      </c>
      <c r="G22" s="52">
        <f>$D$22-($D$22/10*3)</f>
        <v>5.6</v>
      </c>
      <c r="H22" s="52">
        <f>$D$22-($D$22/10*4)</f>
        <v>4.8</v>
      </c>
      <c r="I22" s="52">
        <f>$D$22-($D$22/10*5)</f>
        <v>4</v>
      </c>
      <c r="J22" s="53">
        <f>$D$22-($D$22/10*6)</f>
        <v>3.1999999999999993</v>
      </c>
      <c r="K22" s="52">
        <f>$D$22-($D$22/10*7)</f>
        <v>2.3999999999999995</v>
      </c>
      <c r="L22" s="54">
        <f>$D$22-($D$22/10*8)</f>
        <v>1.5999999999999996</v>
      </c>
    </row>
    <row r="23" spans="2:12" ht="14.25" customHeight="1" x14ac:dyDescent="0.35"/>
    <row r="24" spans="2:12" ht="14.25" customHeight="1" x14ac:dyDescent="0.35"/>
    <row r="25" spans="2:12" ht="14.25" customHeight="1" x14ac:dyDescent="0.35"/>
    <row r="26" spans="2:12" ht="14.25" customHeight="1" x14ac:dyDescent="0.35"/>
    <row r="27" spans="2:12" ht="14.25" customHeight="1" x14ac:dyDescent="0.35"/>
    <row r="28" spans="2:12" ht="14.25" customHeight="1" x14ac:dyDescent="0.35"/>
    <row r="29" spans="2:12" ht="14.25" customHeight="1" x14ac:dyDescent="0.35"/>
    <row r="30" spans="2:12" ht="14.25" customHeight="1" x14ac:dyDescent="0.35"/>
    <row r="31" spans="2:12" ht="14.25" customHeight="1" x14ac:dyDescent="0.35"/>
    <row r="32" spans="2:1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7">
    <mergeCell ref="B21:C21"/>
    <mergeCell ref="B22:C22"/>
    <mergeCell ref="B2:L2"/>
    <mergeCell ref="E3:I3"/>
    <mergeCell ref="B4:B5"/>
    <mergeCell ref="C4:C5"/>
    <mergeCell ref="B20:C20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F1E91-1F52-494C-B1A2-6E397623B912}">
  <dimension ref="B1:L1000"/>
  <sheetViews>
    <sheetView tabSelected="1" zoomScale="85" zoomScaleNormal="85" workbookViewId="0">
      <selection activeCell="D14" sqref="D14"/>
    </sheetView>
  </sheetViews>
  <sheetFormatPr defaultColWidth="14.453125" defaultRowHeight="15" customHeight="1" x14ac:dyDescent="0.35"/>
  <cols>
    <col min="1" max="1" width="8.7265625" customWidth="1"/>
    <col min="2" max="2" width="7.1796875" customWidth="1"/>
    <col min="3" max="3" width="73.08984375" customWidth="1"/>
    <col min="4" max="4" width="15.7265625" customWidth="1"/>
    <col min="5" max="14" width="10" customWidth="1"/>
    <col min="15" max="26" width="8.7265625" customWidth="1"/>
  </cols>
  <sheetData>
    <row r="1" spans="2:12" ht="14.25" customHeight="1" thickBot="1" x14ac:dyDescent="0.4"/>
    <row r="2" spans="2:12" ht="14.25" customHeight="1" thickBot="1" x14ac:dyDescent="0.4">
      <c r="B2" s="7" t="s">
        <v>0</v>
      </c>
      <c r="C2" s="7"/>
      <c r="D2" s="7"/>
      <c r="E2" s="7"/>
      <c r="F2" s="7"/>
      <c r="G2" s="7"/>
      <c r="H2" s="7"/>
      <c r="I2" s="7"/>
      <c r="J2" s="7"/>
      <c r="K2" s="7"/>
      <c r="L2" s="7"/>
    </row>
    <row r="3" spans="2:12" ht="14.25" customHeight="1" thickBot="1" x14ac:dyDescent="0.4">
      <c r="B3" s="8"/>
      <c r="C3" s="9"/>
      <c r="D3" s="9"/>
      <c r="E3" s="6"/>
      <c r="F3" s="6"/>
      <c r="G3" s="6"/>
      <c r="H3" s="6"/>
      <c r="I3" s="6"/>
      <c r="J3" s="10"/>
      <c r="K3" s="11"/>
      <c r="L3" s="12"/>
    </row>
    <row r="4" spans="2:12" ht="14.25" customHeight="1" thickBot="1" x14ac:dyDescent="0.4">
      <c r="B4" s="5" t="s">
        <v>1</v>
      </c>
      <c r="C4" s="4" t="s">
        <v>2</v>
      </c>
      <c r="D4" s="13" t="s">
        <v>3</v>
      </c>
      <c r="E4" s="14">
        <v>45979</v>
      </c>
      <c r="F4" s="14">
        <v>45980</v>
      </c>
      <c r="G4" s="14">
        <v>45981</v>
      </c>
      <c r="H4" s="14">
        <v>45982</v>
      </c>
      <c r="I4" s="14">
        <v>45983</v>
      </c>
      <c r="J4" s="14">
        <v>45984</v>
      </c>
      <c r="K4" s="14">
        <v>45985</v>
      </c>
      <c r="L4" s="14">
        <v>45986</v>
      </c>
    </row>
    <row r="5" spans="2:12" ht="14.25" customHeight="1" thickBot="1" x14ac:dyDescent="0.4">
      <c r="B5" s="5"/>
      <c r="C5" s="4"/>
      <c r="D5" s="17" t="s">
        <v>4</v>
      </c>
      <c r="E5" s="18" t="s">
        <v>5</v>
      </c>
      <c r="F5" s="18" t="s">
        <v>6</v>
      </c>
      <c r="G5" s="18" t="s">
        <v>7</v>
      </c>
      <c r="H5" s="18" t="s">
        <v>8</v>
      </c>
      <c r="I5" s="18" t="s">
        <v>9</v>
      </c>
      <c r="J5" s="19" t="s">
        <v>10</v>
      </c>
      <c r="K5" s="18" t="s">
        <v>11</v>
      </c>
      <c r="L5" s="20" t="s">
        <v>12</v>
      </c>
    </row>
    <row r="6" spans="2:12" ht="14.25" customHeight="1" x14ac:dyDescent="0.35">
      <c r="B6" s="21">
        <v>1</v>
      </c>
      <c r="C6" s="22" t="s">
        <v>21</v>
      </c>
      <c r="D6" s="23">
        <v>6</v>
      </c>
      <c r="E6" s="24">
        <v>1</v>
      </c>
      <c r="F6" s="24">
        <v>3</v>
      </c>
      <c r="G6" s="24">
        <v>2</v>
      </c>
      <c r="H6" s="24"/>
      <c r="I6" s="24"/>
      <c r="J6" s="25"/>
      <c r="K6" s="24"/>
      <c r="L6" s="26"/>
    </row>
    <row r="7" spans="2:12" ht="14.25" customHeight="1" x14ac:dyDescent="0.35">
      <c r="B7" s="27">
        <v>2</v>
      </c>
      <c r="C7" s="28" t="s">
        <v>22</v>
      </c>
      <c r="D7" s="29">
        <v>7</v>
      </c>
      <c r="E7" s="30">
        <v>2</v>
      </c>
      <c r="F7" s="30">
        <v>3</v>
      </c>
      <c r="G7" s="30">
        <v>5</v>
      </c>
      <c r="H7" s="30"/>
      <c r="I7" s="30"/>
      <c r="J7" s="31"/>
      <c r="K7" s="30"/>
      <c r="L7" s="32"/>
    </row>
    <row r="8" spans="2:12" ht="14.25" customHeight="1" x14ac:dyDescent="0.35">
      <c r="B8" s="27">
        <v>3</v>
      </c>
      <c r="C8" s="28" t="s">
        <v>23</v>
      </c>
      <c r="D8" s="29">
        <v>4</v>
      </c>
      <c r="E8" s="30"/>
      <c r="F8" s="30"/>
      <c r="G8" s="30"/>
      <c r="H8" s="30"/>
      <c r="I8" s="30"/>
      <c r="J8" s="31"/>
      <c r="K8" s="30"/>
      <c r="L8" s="32"/>
    </row>
    <row r="9" spans="2:12" ht="14.25" customHeight="1" x14ac:dyDescent="0.35">
      <c r="B9" s="27">
        <v>4</v>
      </c>
      <c r="C9" s="28" t="s">
        <v>17</v>
      </c>
      <c r="D9" s="29">
        <v>2</v>
      </c>
      <c r="E9" s="30"/>
      <c r="F9" s="30"/>
      <c r="G9" s="30"/>
      <c r="H9" s="30"/>
      <c r="I9" s="30"/>
      <c r="J9" s="31"/>
      <c r="K9" s="30"/>
      <c r="L9" s="32"/>
    </row>
    <row r="10" spans="2:12" ht="14.25" customHeight="1" x14ac:dyDescent="0.35">
      <c r="B10" s="27">
        <v>5</v>
      </c>
      <c r="D10" s="29"/>
      <c r="E10" s="30"/>
      <c r="F10" s="30"/>
      <c r="G10" s="30"/>
      <c r="H10" s="30"/>
      <c r="I10" s="30"/>
      <c r="J10" s="31"/>
      <c r="K10" s="30"/>
      <c r="L10" s="32"/>
    </row>
    <row r="11" spans="2:12" ht="14.25" customHeight="1" x14ac:dyDescent="0.35">
      <c r="B11" s="27">
        <v>6</v>
      </c>
      <c r="C11" s="34"/>
      <c r="D11" s="29"/>
      <c r="E11" s="30"/>
      <c r="F11" s="30"/>
      <c r="G11" s="30"/>
      <c r="H11" s="30"/>
      <c r="I11" s="30"/>
      <c r="J11" s="31"/>
      <c r="K11" s="30"/>
      <c r="L11" s="32"/>
    </row>
    <row r="12" spans="2:12" ht="14.25" customHeight="1" x14ac:dyDescent="0.35">
      <c r="B12" s="27">
        <v>7</v>
      </c>
      <c r="C12" s="34"/>
      <c r="D12" s="29"/>
      <c r="E12" s="30"/>
      <c r="F12" s="30"/>
      <c r="G12" s="30"/>
      <c r="H12" s="30"/>
      <c r="I12" s="30"/>
      <c r="J12" s="31"/>
      <c r="K12" s="30"/>
      <c r="L12" s="32"/>
    </row>
    <row r="13" spans="2:12" ht="14.25" customHeight="1" x14ac:dyDescent="0.35">
      <c r="B13" s="27">
        <v>8</v>
      </c>
      <c r="C13" s="34"/>
      <c r="D13" s="29"/>
      <c r="E13" s="30"/>
      <c r="F13" s="30"/>
      <c r="G13" s="30"/>
      <c r="H13" s="30"/>
      <c r="I13" s="30"/>
      <c r="J13" s="31"/>
      <c r="K13" s="30"/>
      <c r="L13" s="32"/>
    </row>
    <row r="14" spans="2:12" ht="14.25" customHeight="1" x14ac:dyDescent="0.35">
      <c r="B14" s="27">
        <v>9</v>
      </c>
      <c r="C14" s="34"/>
      <c r="D14" s="29"/>
      <c r="E14" s="30"/>
      <c r="F14" s="30"/>
      <c r="G14" s="30"/>
      <c r="H14" s="30"/>
      <c r="I14" s="30"/>
      <c r="J14" s="31"/>
      <c r="K14" s="30"/>
      <c r="L14" s="32"/>
    </row>
    <row r="15" spans="2:12" ht="14.25" customHeight="1" x14ac:dyDescent="0.35">
      <c r="B15" s="27">
        <v>10</v>
      </c>
      <c r="C15" s="34"/>
      <c r="D15" s="29"/>
      <c r="E15" s="30"/>
      <c r="F15" s="30"/>
      <c r="G15" s="30"/>
      <c r="H15" s="30"/>
      <c r="I15" s="30"/>
      <c r="J15" s="31"/>
      <c r="K15" s="30"/>
      <c r="L15" s="32"/>
    </row>
    <row r="16" spans="2:12" ht="14.25" customHeight="1" x14ac:dyDescent="0.35">
      <c r="B16" s="27">
        <v>11</v>
      </c>
      <c r="C16" s="35"/>
      <c r="D16" s="29"/>
      <c r="E16" s="30"/>
      <c r="F16" s="30"/>
      <c r="G16" s="30"/>
      <c r="H16" s="30"/>
      <c r="I16" s="30"/>
      <c r="J16" s="31"/>
      <c r="K16" s="30"/>
      <c r="L16" s="32"/>
    </row>
    <row r="17" spans="2:12" ht="14.25" customHeight="1" x14ac:dyDescent="0.35">
      <c r="B17" s="27">
        <v>12</v>
      </c>
      <c r="C17" s="34"/>
      <c r="D17" s="29"/>
      <c r="E17" s="30"/>
      <c r="F17" s="30"/>
      <c r="G17" s="30"/>
      <c r="H17" s="30"/>
      <c r="I17" s="30"/>
      <c r="J17" s="31"/>
      <c r="K17" s="30"/>
      <c r="L17" s="32"/>
    </row>
    <row r="18" spans="2:12" ht="14.25" customHeight="1" x14ac:dyDescent="0.35">
      <c r="B18" s="27">
        <v>13</v>
      </c>
      <c r="C18" s="34"/>
      <c r="D18" s="29"/>
      <c r="E18" s="30"/>
      <c r="F18" s="30"/>
      <c r="G18" s="30"/>
      <c r="H18" s="30"/>
      <c r="I18" s="30"/>
      <c r="J18" s="31"/>
      <c r="K18" s="30"/>
      <c r="L18" s="32"/>
    </row>
    <row r="19" spans="2:12" ht="14.25" customHeight="1" thickBot="1" x14ac:dyDescent="0.4">
      <c r="B19" s="36">
        <v>14</v>
      </c>
      <c r="C19" s="37"/>
      <c r="D19" s="38"/>
      <c r="E19" s="39"/>
      <c r="F19" s="39"/>
      <c r="G19" s="39"/>
      <c r="H19" s="39"/>
      <c r="I19" s="39"/>
      <c r="J19" s="40"/>
      <c r="K19" s="39"/>
      <c r="L19" s="41"/>
    </row>
    <row r="20" spans="2:12" ht="14.25" customHeight="1" x14ac:dyDescent="0.35">
      <c r="B20" s="3" t="s">
        <v>18</v>
      </c>
      <c r="C20" s="3"/>
      <c r="D20" s="42">
        <v>0</v>
      </c>
      <c r="E20" s="43">
        <f t="shared" ref="E20:L20" si="0">SUM(E6:E19)</f>
        <v>3</v>
      </c>
      <c r="F20" s="43">
        <f t="shared" si="0"/>
        <v>6</v>
      </c>
      <c r="G20" s="43">
        <f t="shared" si="0"/>
        <v>7</v>
      </c>
      <c r="H20" s="43">
        <f t="shared" si="0"/>
        <v>0</v>
      </c>
      <c r="I20" s="43">
        <f t="shared" si="0"/>
        <v>0</v>
      </c>
      <c r="J20" s="44">
        <f t="shared" si="0"/>
        <v>0</v>
      </c>
      <c r="K20" s="44">
        <f t="shared" si="0"/>
        <v>0</v>
      </c>
      <c r="L20" s="45">
        <f t="shared" si="0"/>
        <v>0</v>
      </c>
    </row>
    <row r="21" spans="2:12" ht="14.25" customHeight="1" x14ac:dyDescent="0.35">
      <c r="B21" s="2" t="s">
        <v>19</v>
      </c>
      <c r="C21" s="2"/>
      <c r="D21" s="46">
        <f>SUM(D6:D20)</f>
        <v>19</v>
      </c>
      <c r="E21" s="47">
        <f t="shared" ref="E21:L21" si="1">D21-SUM(E6:E19)</f>
        <v>16</v>
      </c>
      <c r="F21" s="47">
        <f t="shared" si="1"/>
        <v>10</v>
      </c>
      <c r="G21" s="47">
        <f t="shared" si="1"/>
        <v>3</v>
      </c>
      <c r="H21" s="47">
        <f t="shared" si="1"/>
        <v>3</v>
      </c>
      <c r="I21" s="47">
        <f t="shared" si="1"/>
        <v>3</v>
      </c>
      <c r="J21" s="48">
        <f t="shared" si="1"/>
        <v>3</v>
      </c>
      <c r="K21" s="49">
        <f t="shared" si="1"/>
        <v>3</v>
      </c>
      <c r="L21" s="50">
        <f t="shared" si="1"/>
        <v>3</v>
      </c>
    </row>
    <row r="22" spans="2:12" ht="14.25" customHeight="1" thickBot="1" x14ac:dyDescent="0.4">
      <c r="B22" s="1" t="s">
        <v>20</v>
      </c>
      <c r="C22" s="1"/>
      <c r="D22" s="51">
        <f>D21</f>
        <v>19</v>
      </c>
      <c r="E22" s="52">
        <f>$D$22-($D$22/10*1)</f>
        <v>17.100000000000001</v>
      </c>
      <c r="F22" s="52">
        <f>$D$22-($D$22/10*2)</f>
        <v>15.2</v>
      </c>
      <c r="G22" s="52">
        <f>$D$22-($D$22/10*3)</f>
        <v>13.3</v>
      </c>
      <c r="H22" s="52">
        <f>$D$22-($D$22/10*4)</f>
        <v>11.4</v>
      </c>
      <c r="I22" s="52">
        <f>$D$22-($D$22/10*5)</f>
        <v>9.5</v>
      </c>
      <c r="J22" s="53">
        <f>$D$22-($D$22/10*6)</f>
        <v>7.6000000000000014</v>
      </c>
      <c r="K22" s="52">
        <f>$D$22-($D$22/10*7)</f>
        <v>5.7000000000000011</v>
      </c>
      <c r="L22" s="54">
        <f>$D$22-($D$22/10*8)</f>
        <v>3.8000000000000007</v>
      </c>
    </row>
    <row r="23" spans="2:12" ht="14.25" customHeight="1" x14ac:dyDescent="0.35"/>
    <row r="24" spans="2:12" ht="14.25" customHeight="1" x14ac:dyDescent="0.35"/>
    <row r="25" spans="2:12" ht="14.25" customHeight="1" x14ac:dyDescent="0.35"/>
    <row r="26" spans="2:12" ht="14.25" customHeight="1" x14ac:dyDescent="0.35"/>
    <row r="27" spans="2:12" ht="14.25" customHeight="1" x14ac:dyDescent="0.35"/>
    <row r="28" spans="2:12" ht="14.25" customHeight="1" x14ac:dyDescent="0.35"/>
    <row r="29" spans="2:12" ht="14.25" customHeight="1" x14ac:dyDescent="0.35"/>
    <row r="30" spans="2:12" ht="14.25" customHeight="1" x14ac:dyDescent="0.35"/>
    <row r="31" spans="2:12" ht="14.25" customHeight="1" x14ac:dyDescent="0.35"/>
    <row r="32" spans="2:1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7">
    <mergeCell ref="B22:C22"/>
    <mergeCell ref="B2:L2"/>
    <mergeCell ref="E3:I3"/>
    <mergeCell ref="B4:B5"/>
    <mergeCell ref="C4:C5"/>
    <mergeCell ref="B20:C20"/>
    <mergeCell ref="B21:C21"/>
  </mergeCells>
  <pageMargins left="0.7" right="0.7" top="0.75" bottom="0.75" header="0.511811023622047" footer="0.511811023622047"/>
  <pageSetup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Burndown Chart</vt:lpstr>
      <vt:lpstr>Burndown Chart Sprint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Diogo Almeida</dc:creator>
  <dc:description/>
  <cp:lastModifiedBy>Guilherme Neto</cp:lastModifiedBy>
  <cp:revision>1</cp:revision>
  <dcterms:created xsi:type="dcterms:W3CDTF">2021-11-14T17:33:15Z</dcterms:created>
  <dcterms:modified xsi:type="dcterms:W3CDTF">2025-11-22T11:00:59Z</dcterms:modified>
  <dc:language>pt-PT</dc:language>
</cp:coreProperties>
</file>