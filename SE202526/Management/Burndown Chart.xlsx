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Burndown Chart" sheetId="1" state="visible" r:id="rId3"/>
    <sheet name="Burndown Chart Sprint 5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<sst xmlns="http://schemas.openxmlformats.org/spreadsheetml/2006/main" count="35" uniqueCount="22">
  <si>
    <t xml:space="preserve">Sprint Burndown Chart</t>
  </si>
  <si>
    <t xml:space="preserve">Task ID</t>
  </si>
  <si>
    <t xml:space="preserve">Descrição da Tarefa</t>
  </si>
  <si>
    <t xml:space="preserve">Estimativa Inicial</t>
  </si>
  <si>
    <t xml:space="preserve">Dia 0</t>
  </si>
  <si>
    <t xml:space="preserve">Dia 1</t>
  </si>
  <si>
    <t xml:space="preserve">Dia 2</t>
  </si>
  <si>
    <t xml:space="preserve">Dia 3</t>
  </si>
  <si>
    <t xml:space="preserve">Dia 4</t>
  </si>
  <si>
    <t xml:space="preserve">Dia 5</t>
  </si>
  <si>
    <t xml:space="preserve">Dia 6</t>
  </si>
  <si>
    <t xml:space="preserve">Dia 7</t>
  </si>
  <si>
    <t xml:space="preserve">Dia 8</t>
  </si>
  <si>
    <t xml:space="preserve">Find Code Smells</t>
  </si>
  <si>
    <t xml:space="preserve">Find Design Patterns</t>
  </si>
  <si>
    <t xml:space="preserve">Create Use Cases</t>
  </si>
  <si>
    <t xml:space="preserve">Produce Code Metrics</t>
  </si>
  <si>
    <t xml:space="preserve">Review Work</t>
  </si>
  <si>
    <t xml:space="preserve">Esforço Completo</t>
  </si>
  <si>
    <t xml:space="preserve">Esforço Restante</t>
  </si>
  <si>
    <r>
      <rPr>
        <b val="true"/>
        <i val="true"/>
        <sz val="11"/>
        <color theme="1"/>
        <rFont val="Calibri"/>
        <family val="2"/>
        <charset val="1"/>
      </rPr>
      <t xml:space="preserve">Burndown </t>
    </r>
    <r>
      <rPr>
        <b val="true"/>
        <sz val="11"/>
        <color theme="1"/>
        <rFont val="Calibri"/>
        <family val="2"/>
        <charset val="1"/>
      </rPr>
      <t xml:space="preserve">Ideal</t>
    </r>
  </si>
  <si>
    <t xml:space="preserve">Produce videos/tests and documentation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</si>
</sst>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m/yy"/>
    <numFmt numFmtId="166" formatCode="0.0"/>
  </numFmts>
  <fonts count="13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theme="0"/>
      <name val="Calibri"/>
      <family val="2"/>
      <charset val="1"/>
    </font>
    <font>
      <sz val="11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name val="Calibri"/>
      <family val="2"/>
      <charset val="1"/>
    </font>
    <font>
      <b val="true"/>
      <i val="true"/>
      <sz val="11"/>
      <color theme="1"/>
      <name val="Calibri"/>
      <family val="2"/>
      <charset val="1"/>
    </font>
    <font>
      <sz val="14"/>
      <color rgb="FF757575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9"/>
      <color rgb="FF1A1A1A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548135"/>
        <bgColor rgb="FF757575"/>
      </patternFill>
    </fill>
    <fill>
      <patternFill patternType="solid">
        <fgColor rgb="FFF7CAAC"/>
        <bgColor rgb="FFD0CECE"/>
      </patternFill>
    </fill>
    <fill>
      <patternFill patternType="solid">
        <fgColor rgb="FFD0CECE"/>
        <bgColor rgb="FFD8D8D8"/>
      </patternFill>
    </fill>
    <fill>
      <patternFill patternType="solid">
        <fgColor rgb="FFF2F2F2"/>
        <bgColor rgb="FFFFFFFF"/>
      </patternFill>
    </fill>
    <fill>
      <patternFill patternType="solid">
        <fgColor rgb="FFD8D8D8"/>
        <bgColor rgb="FFD9D9D9"/>
      </patternFill>
    </fill>
    <fill>
      <patternFill patternType="solid">
        <fgColor theme="0"/>
        <bgColor rgb="FFF2F2F2"/>
      </patternFill>
    </fill>
    <fill>
      <patternFill patternType="solid">
        <fgColor rgb="FFFEF2CB"/>
        <bgColor rgb="FFF2F2F2"/>
      </patternFill>
    </fill>
    <fill>
      <patternFill patternType="solid">
        <fgColor rgb="FFB4C6E7"/>
        <bgColor rgb="FFD0CECE"/>
      </patternFill>
    </fill>
    <fill>
      <patternFill patternType="solid">
        <fgColor rgb="FFC5E0B3"/>
        <bgColor rgb="FFD8D8D8"/>
      </patternFill>
    </fill>
  </fills>
  <borders count="34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5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5" fillId="5" borderId="1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6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2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5" fillId="5" borderId="2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6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2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5" borderId="2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5" borderId="25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5" fillId="5" borderId="2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6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8" borderId="3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8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8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8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8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9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9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9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9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9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9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1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1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1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135"/>
      <rgbColor rgb="FF800080"/>
      <rgbColor rgb="FF008080"/>
      <rgbColor rgb="FFB7B7B7"/>
      <rgbColor rgb="FF757575"/>
      <rgbColor rgb="FF5B9BD5"/>
      <rgbColor rgb="FF993366"/>
      <rgbColor rgb="FFFEF2CB"/>
      <rgbColor rgb="FFF2F2F2"/>
      <rgbColor rgb="FF660066"/>
      <rgbColor rgb="FFFF8080"/>
      <rgbColor rgb="FF0066CC"/>
      <rgbColor rgb="FFB4C6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C5E0B3"/>
      <rgbColor rgb="FFD8D8D8"/>
      <rgbColor rgb="FFD0CECE"/>
      <rgbColor rgb="FFFF99CC"/>
      <rgbColor rgb="FFCC99FF"/>
      <rgbColor rgb="FFF7CAAC"/>
      <rgbColor rgb="FF3366FF"/>
      <rgbColor rgb="FF33CCCC"/>
      <rgbColor rgb="FF99CC00"/>
      <rgbColor rgb="FFFFC000"/>
      <rgbColor rgb="FFFF9900"/>
      <rgbColor rgb="FFFF6600"/>
      <rgbColor rgb="FF666699"/>
      <rgbColor rgb="FF8B8B8B"/>
      <rgbColor rgb="FF003366"/>
      <rgbColor rgb="FF00B050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pt-PT" sz="1400" strike="noStrike" u="none">
                <a:solidFill>
                  <a:srgbClr val="757575"/>
                </a:solidFill>
                <a:uFillTx/>
                <a:latin typeface="Calibri"/>
                <a:ea typeface="Calibri"/>
              </a:rPr>
              <a:t>Sprint Burndown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"Esforço Completo"</c:f>
              <c:strCache>
                <c:ptCount val="1"/>
                <c:pt idx="0">
                  <c:v>Esforço Completo</c:v>
                </c:pt>
              </c:strCache>
            </c:strRef>
          </c:tx>
          <c:spPr>
            <a:solidFill>
              <a:srgbClr val="ffc000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'Burndown Chart'!$D$5:$L$5</c:f>
              <c:multiLvlStrCache>
                <c:ptCount val="1"/>
                <c:lvl>
                  <c:pt idx="0">
                    <c:v>Dia 8</c:v>
                  </c:pt>
                </c:lvl>
                <c:lvl>
                  <c:pt idx="0">
                    <c:v>Dia 7</c:v>
                  </c:pt>
                </c:lvl>
                <c:lvl>
                  <c:pt idx="0">
                    <c:v>Dia 6</c:v>
                  </c:pt>
                </c:lvl>
                <c:lvl>
                  <c:pt idx="0">
                    <c:v>Dia 5</c:v>
                  </c:pt>
                </c:lvl>
                <c:lvl>
                  <c:pt idx="0">
                    <c:v>Dia 4</c:v>
                  </c:pt>
                </c:lvl>
                <c:lvl>
                  <c:pt idx="0">
                    <c:v>Dia 3</c:v>
                  </c:pt>
                </c:lvl>
                <c:lvl>
                  <c:pt idx="0">
                    <c:v>Dia 2</c:v>
                  </c:pt>
                </c:lvl>
                <c:lvl>
                  <c:pt idx="0">
                    <c:v>Dia 1</c:v>
                  </c:pt>
                </c:lvl>
                <c:lvl>
                  <c:pt idx="0">
                    <c:v>Dia 0</c:v>
                  </c:pt>
                </c:lvl>
              </c:multiLvlStrCache>
            </c:multiLvlStrRef>
          </c:cat>
          <c:val>
            <c:numRef>
              <c:f>'Burndown Chart'!$D$20:$L$20</c:f>
              <c:numCache>
                <c:formatCode>General</c:formatCode>
                <c:ptCount val="9"/>
                <c:pt idx="0">
                  <c:v>0</c:v>
                </c:pt>
                <c:pt idx="1">
                  <c:v>0.2</c:v>
                </c:pt>
                <c:pt idx="2">
                  <c:v>0.2</c:v>
                </c:pt>
                <c:pt idx="3">
                  <c:v>0.4</c:v>
                </c:pt>
                <c:pt idx="4">
                  <c:v>0.8</c:v>
                </c:pt>
                <c:pt idx="5">
                  <c:v>0.6</c:v>
                </c:pt>
                <c:pt idx="6">
                  <c:v>1.8</c:v>
                </c:pt>
                <c:pt idx="7">
                  <c:v>3</c:v>
                </c:pt>
                <c:pt idx="8">
                  <c:v>1</c:v>
                </c:pt>
              </c:numCache>
            </c:numRef>
          </c:val>
        </c:ser>
        <c:gapWidth val="150"/>
        <c:overlap val="100"/>
        <c:axId val="51682682"/>
        <c:axId val="43618245"/>
      </c:barChart>
      <c:lineChart>
        <c:grouping val="stacked"/>
        <c:varyColors val="0"/>
        <c:ser>
          <c:idx val="1"/>
          <c:order val="1"/>
          <c:tx>
            <c:strRef>
              <c:f>"Esforço Restante"</c:f>
              <c:strCache>
                <c:ptCount val="1"/>
                <c:pt idx="0">
                  <c:v>Esforço Restante</c:v>
                </c:pt>
              </c:strCache>
            </c:strRef>
          </c:tx>
          <c:spPr>
            <a:solidFill>
              <a:srgbClr val="5b9bd5"/>
            </a:solidFill>
            <a:ln w="28440">
              <a:solidFill>
                <a:srgbClr val="5b9bd5"/>
              </a:solidFill>
              <a:round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'Burndown Chart'!$D$5:$L$5</c:f>
              <c:multiLvlStrCache>
                <c:ptCount val="1"/>
                <c:lvl>
                  <c:pt idx="0">
                    <c:v>Dia 8</c:v>
                  </c:pt>
                </c:lvl>
                <c:lvl>
                  <c:pt idx="0">
                    <c:v>Dia 7</c:v>
                  </c:pt>
                </c:lvl>
                <c:lvl>
                  <c:pt idx="0">
                    <c:v>Dia 6</c:v>
                  </c:pt>
                </c:lvl>
                <c:lvl>
                  <c:pt idx="0">
                    <c:v>Dia 5</c:v>
                  </c:pt>
                </c:lvl>
                <c:lvl>
                  <c:pt idx="0">
                    <c:v>Dia 4</c:v>
                  </c:pt>
                </c:lvl>
                <c:lvl>
                  <c:pt idx="0">
                    <c:v>Dia 3</c:v>
                  </c:pt>
                </c:lvl>
                <c:lvl>
                  <c:pt idx="0">
                    <c:v>Dia 2</c:v>
                  </c:pt>
                </c:lvl>
                <c:lvl>
                  <c:pt idx="0">
                    <c:v>Dia 1</c:v>
                  </c:pt>
                </c:lvl>
                <c:lvl>
                  <c:pt idx="0">
                    <c:v>Dia 0</c:v>
                  </c:pt>
                </c:lvl>
              </c:multiLvlStrCache>
            </c:multiLvlStrRef>
          </c:cat>
          <c:val>
            <c:numRef>
              <c:f>'Burndown Chart'!$D$21:$L$21</c:f>
              <c:numCache>
                <c:formatCode>General</c:formatCode>
                <c:ptCount val="9"/>
                <c:pt idx="0">
                  <c:v>8</c:v>
                </c:pt>
                <c:pt idx="1">
                  <c:v>7.8</c:v>
                </c:pt>
                <c:pt idx="2">
                  <c:v>7.6</c:v>
                </c:pt>
                <c:pt idx="3">
                  <c:v>7.2</c:v>
                </c:pt>
                <c:pt idx="4">
                  <c:v>6.4</c:v>
                </c:pt>
                <c:pt idx="5">
                  <c:v>5.8</c:v>
                </c:pt>
                <c:pt idx="6">
                  <c:v>4</c:v>
                </c:pt>
                <c:pt idx="7">
                  <c:v>1</c:v>
                </c:pt>
                <c:pt idx="8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"Burndown Ideal"</c:f>
              <c:strCache>
                <c:ptCount val="1"/>
                <c:pt idx="0">
                  <c:v>Burndown Ideal</c:v>
                </c:pt>
              </c:strCache>
            </c:strRef>
          </c:tx>
          <c:spPr>
            <a:solidFill>
              <a:srgbClr val="00b050"/>
            </a:solidFill>
            <a:ln w="2844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'Burndown Chart'!$D$5:$L$5</c:f>
              <c:multiLvlStrCache>
                <c:ptCount val="1"/>
                <c:lvl>
                  <c:pt idx="0">
                    <c:v>Dia 8</c:v>
                  </c:pt>
                </c:lvl>
                <c:lvl>
                  <c:pt idx="0">
                    <c:v>Dia 7</c:v>
                  </c:pt>
                </c:lvl>
                <c:lvl>
                  <c:pt idx="0">
                    <c:v>Dia 6</c:v>
                  </c:pt>
                </c:lvl>
                <c:lvl>
                  <c:pt idx="0">
                    <c:v>Dia 5</c:v>
                  </c:pt>
                </c:lvl>
                <c:lvl>
                  <c:pt idx="0">
                    <c:v>Dia 4</c:v>
                  </c:pt>
                </c:lvl>
                <c:lvl>
                  <c:pt idx="0">
                    <c:v>Dia 3</c:v>
                  </c:pt>
                </c:lvl>
                <c:lvl>
                  <c:pt idx="0">
                    <c:v>Dia 2</c:v>
                  </c:pt>
                </c:lvl>
                <c:lvl>
                  <c:pt idx="0">
                    <c:v>Dia 1</c:v>
                  </c:pt>
                </c:lvl>
                <c:lvl>
                  <c:pt idx="0">
                    <c:v>Dia 0</c:v>
                  </c:pt>
                </c:lvl>
              </c:multiLvlStrCache>
            </c:multiLvlStrRef>
          </c:cat>
          <c:val>
            <c:numRef>
              <c:f>'Burndown Chart'!$D$22:$L$22</c:f>
              <c:numCache>
                <c:formatCode>General</c:formatCode>
                <c:ptCount val="9"/>
                <c:pt idx="0">
                  <c:v>8</c:v>
                </c:pt>
                <c:pt idx="1">
                  <c:v>7.2</c:v>
                </c:pt>
                <c:pt idx="2">
                  <c:v>6.4</c:v>
                </c:pt>
                <c:pt idx="3">
                  <c:v>5.6</c:v>
                </c:pt>
                <c:pt idx="4">
                  <c:v>4.8</c:v>
                </c:pt>
                <c:pt idx="5">
                  <c:v>4</c:v>
                </c:pt>
                <c:pt idx="6">
                  <c:v>3.2</c:v>
                </c:pt>
                <c:pt idx="7">
                  <c:v>2.4</c:v>
                </c:pt>
                <c:pt idx="8">
                  <c:v>1.6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1682682"/>
        <c:axId val="43618245"/>
      </c:lineChart>
      <c:catAx>
        <c:axId val="5168268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43618245"/>
        <c:crosses val="autoZero"/>
        <c:auto val="1"/>
        <c:lblAlgn val="ctr"/>
        <c:lblOffset val="100"/>
        <c:noMultiLvlLbl val="0"/>
      </c:catAx>
      <c:valAx>
        <c:axId val="43618245"/>
        <c:scaling>
          <c:orientation val="minMax"/>
          <c:max val="22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lang="pt-PT" sz="1000" strike="noStrike" u="non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Horas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5168268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trike="noStrike" u="none">
              <a:solidFill>
                <a:srgbClr val="1a1a1a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pt-PT" sz="1400" strike="noStrike" u="none">
                <a:solidFill>
                  <a:srgbClr val="757575"/>
                </a:solidFill>
                <a:uFillTx/>
                <a:latin typeface="Calibri"/>
                <a:ea typeface="Calibri"/>
              </a:rPr>
              <a:t>Sprint Burndown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"Esforço Completo"</c:f>
              <c:strCache>
                <c:ptCount val="1"/>
                <c:pt idx="0">
                  <c:v>Esforço Completo</c:v>
                </c:pt>
              </c:strCache>
            </c:strRef>
          </c:tx>
          <c:spPr>
            <a:solidFill>
              <a:srgbClr val="ffc000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'Burndown Chart Sprint 5'!$D$5:$L$5</c:f>
              <c:multiLvlStrCache>
                <c:ptCount val="1"/>
                <c:lvl/>
                <c:lvl/>
                <c:lvl/>
                <c:lvl/>
                <c:lvl>
                  <c:pt idx="0">
                    <c:v>Dia 4</c:v>
                  </c:pt>
                </c:lvl>
                <c:lvl>
                  <c:pt idx="0">
                    <c:v>Dia 3</c:v>
                  </c:pt>
                </c:lvl>
                <c:lvl>
                  <c:pt idx="0">
                    <c:v>Dia 2</c:v>
                  </c:pt>
                </c:lvl>
                <c:lvl>
                  <c:pt idx="0">
                    <c:v>Dia 1</c:v>
                  </c:pt>
                </c:lvl>
                <c:lvl>
                  <c:pt idx="0">
                    <c:v>Dia 0</c:v>
                  </c:pt>
                </c:lvl>
              </c:multiLvlStrCache>
            </c:multiLvlStrRef>
          </c:cat>
          <c:val>
            <c:numRef>
              <c:f>'Burndown Chart Sprint 5'!$D$20:$L$20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3</c:v>
                </c:pt>
                <c:pt idx="4">
                  <c:v>6</c:v>
                </c:pt>
              </c:numCache>
            </c:numRef>
          </c:val>
        </c:ser>
        <c:gapWidth val="150"/>
        <c:overlap val="100"/>
        <c:axId val="14958617"/>
        <c:axId val="67129602"/>
      </c:barChart>
      <c:lineChart>
        <c:grouping val="stacked"/>
        <c:varyColors val="0"/>
        <c:ser>
          <c:idx val="1"/>
          <c:order val="1"/>
          <c:tx>
            <c:strRef>
              <c:f>"Esforço Restante"</c:f>
              <c:strCache>
                <c:ptCount val="1"/>
                <c:pt idx="0">
                  <c:v>Esforço Restante</c:v>
                </c:pt>
              </c:strCache>
            </c:strRef>
          </c:tx>
          <c:spPr>
            <a:solidFill>
              <a:srgbClr val="5b9bd5"/>
            </a:solidFill>
            <a:ln w="28440">
              <a:solidFill>
                <a:srgbClr val="5b9bd5"/>
              </a:solidFill>
              <a:round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'Burndown Chart Sprint 5'!$D$5:$L$5</c:f>
              <c:multiLvlStrCache>
                <c:ptCount val="1"/>
                <c:lvl/>
                <c:lvl/>
                <c:lvl/>
                <c:lvl/>
                <c:lvl>
                  <c:pt idx="0">
                    <c:v>Dia 4</c:v>
                  </c:pt>
                </c:lvl>
                <c:lvl>
                  <c:pt idx="0">
                    <c:v>Dia 3</c:v>
                  </c:pt>
                </c:lvl>
                <c:lvl>
                  <c:pt idx="0">
                    <c:v>Dia 2</c:v>
                  </c:pt>
                </c:lvl>
                <c:lvl>
                  <c:pt idx="0">
                    <c:v>Dia 1</c:v>
                  </c:pt>
                </c:lvl>
                <c:lvl>
                  <c:pt idx="0">
                    <c:v>Dia 0</c:v>
                  </c:pt>
                </c:lvl>
              </c:multiLvlStrCache>
            </c:multiLvlStrRef>
          </c:cat>
          <c:val>
            <c:numRef>
              <c:f>'Burndown Chart Sprint 5'!$D$21:$L$21</c:f>
              <c:numCache>
                <c:formatCode>General</c:formatCode>
                <c:ptCount val="9"/>
                <c:pt idx="0">
                  <c:v>10</c:v>
                </c:pt>
                <c:pt idx="1">
                  <c:v>10</c:v>
                </c:pt>
                <c:pt idx="2">
                  <c:v>9</c:v>
                </c:pt>
                <c:pt idx="3">
                  <c:v>6</c:v>
                </c:pt>
                <c:pt idx="4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"Burndown Ideal"</c:f>
              <c:strCache>
                <c:ptCount val="1"/>
                <c:pt idx="0">
                  <c:v>Burndown Ideal</c:v>
                </c:pt>
              </c:strCache>
            </c:strRef>
          </c:tx>
          <c:spPr>
            <a:solidFill>
              <a:srgbClr val="00b050"/>
            </a:solidFill>
            <a:ln w="2844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'Burndown Chart Sprint 5'!$D$5:$L$5</c:f>
              <c:multiLvlStrCache>
                <c:ptCount val="1"/>
                <c:lvl/>
                <c:lvl/>
                <c:lvl/>
                <c:lvl/>
                <c:lvl>
                  <c:pt idx="0">
                    <c:v>Dia 4</c:v>
                  </c:pt>
                </c:lvl>
                <c:lvl>
                  <c:pt idx="0">
                    <c:v>Dia 3</c:v>
                  </c:pt>
                </c:lvl>
                <c:lvl>
                  <c:pt idx="0">
                    <c:v>Dia 2</c:v>
                  </c:pt>
                </c:lvl>
                <c:lvl>
                  <c:pt idx="0">
                    <c:v>Dia 1</c:v>
                  </c:pt>
                </c:lvl>
                <c:lvl>
                  <c:pt idx="0">
                    <c:v>Dia 0</c:v>
                  </c:pt>
                </c:lvl>
              </c:multiLvlStrCache>
            </c:multiLvlStrRef>
          </c:cat>
          <c:val>
            <c:numRef>
              <c:f>'Burndown Chart Sprint 5'!$D$22:$L$22</c:f>
              <c:numCache>
                <c:formatCode>General</c:formatCode>
                <c:ptCount val="9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4958617"/>
        <c:axId val="67129602"/>
      </c:lineChart>
      <c:catAx>
        <c:axId val="1495861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67129602"/>
        <c:crosses val="autoZero"/>
        <c:auto val="1"/>
        <c:lblAlgn val="ctr"/>
        <c:lblOffset val="100"/>
        <c:noMultiLvlLbl val="0"/>
      </c:catAx>
      <c:valAx>
        <c:axId val="67129602"/>
        <c:scaling>
          <c:orientation val="minMax"/>
          <c:max val="22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lang="pt-PT" sz="1000" strike="noStrike" u="non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Horas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1495861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trike="noStrike" u="none">
              <a:solidFill>
                <a:srgbClr val="1a1a1a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9360</xdr:colOff>
      <xdr:row>22</xdr:row>
      <xdr:rowOff>171360</xdr:rowOff>
    </xdr:from>
    <xdr:to>
      <xdr:col>6</xdr:col>
      <xdr:colOff>366840</xdr:colOff>
      <xdr:row>49</xdr:row>
      <xdr:rowOff>170640</xdr:rowOff>
    </xdr:to>
    <xdr:graphicFrame>
      <xdr:nvGraphicFramePr>
        <xdr:cNvPr id="0" name="Chart 1"/>
        <xdr:cNvGraphicFramePr/>
      </xdr:nvGraphicFramePr>
      <xdr:xfrm>
        <a:off x="707760" y="4152960"/>
        <a:ext cx="9638640" cy="4885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9360</xdr:colOff>
      <xdr:row>22</xdr:row>
      <xdr:rowOff>171360</xdr:rowOff>
    </xdr:from>
    <xdr:to>
      <xdr:col>6</xdr:col>
      <xdr:colOff>366840</xdr:colOff>
      <xdr:row>49</xdr:row>
      <xdr:rowOff>170640</xdr:rowOff>
    </xdr:to>
    <xdr:graphicFrame>
      <xdr:nvGraphicFramePr>
        <xdr:cNvPr id="1" name="Chart 1"/>
        <xdr:cNvGraphicFramePr/>
      </xdr:nvGraphicFramePr>
      <xdr:xfrm>
        <a:off x="707760" y="4152960"/>
        <a:ext cx="9638640" cy="4885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100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T8" activeCellId="0" sqref="T8"/>
    </sheetView>
  </sheetViews>
  <sheetFormatPr defaultColWidth="14.453125" defaultRowHeight="15" customHeight="true" zeroHeight="false" outlineLevelRow="0" outlineLevelCol="0"/>
  <cols>
    <col collapsed="false" customWidth="true" hidden="false" outlineLevel="0" max="1" min="1" style="0" width="8.73"/>
    <col collapsed="false" customWidth="true" hidden="false" outlineLevel="0" max="2" min="2" style="0" width="7.18"/>
    <col collapsed="false" customWidth="true" hidden="false" outlineLevel="0" max="3" min="3" style="0" width="73.09"/>
    <col collapsed="false" customWidth="true" hidden="false" outlineLevel="0" max="4" min="4" style="0" width="15.73"/>
    <col collapsed="false" customWidth="true" hidden="false" outlineLevel="0" max="14" min="5" style="0" width="10"/>
    <col collapsed="false" customWidth="true" hidden="false" outlineLevel="0" max="26" min="15" style="0" width="8.73"/>
  </cols>
  <sheetData>
    <row r="1" customFormat="false" ht="14.25" hidden="false" customHeight="true" outlineLevel="0" collapsed="false"/>
    <row r="2" customFormat="false" ht="14.2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4.25" hidden="false" customHeight="true" outlineLevel="0" collapsed="false">
      <c r="B3" s="2"/>
      <c r="C3" s="3"/>
      <c r="D3" s="3"/>
      <c r="E3" s="4"/>
      <c r="F3" s="4"/>
      <c r="G3" s="4"/>
      <c r="H3" s="4"/>
      <c r="I3" s="4"/>
      <c r="J3" s="5"/>
      <c r="K3" s="6"/>
      <c r="L3" s="7"/>
    </row>
    <row r="4" customFormat="false" ht="14.25" hidden="false" customHeight="true" outlineLevel="0" collapsed="false">
      <c r="B4" s="8" t="s">
        <v>1</v>
      </c>
      <c r="C4" s="9" t="s">
        <v>2</v>
      </c>
      <c r="D4" s="10" t="s">
        <v>3</v>
      </c>
      <c r="E4" s="11" t="n">
        <v>45961</v>
      </c>
      <c r="F4" s="11" t="n">
        <v>45962</v>
      </c>
      <c r="G4" s="11" t="n">
        <v>45963</v>
      </c>
      <c r="H4" s="11" t="n">
        <v>45964</v>
      </c>
      <c r="I4" s="11" t="n">
        <v>45965</v>
      </c>
      <c r="J4" s="12" t="n">
        <v>45966</v>
      </c>
      <c r="K4" s="11" t="n">
        <v>45967</v>
      </c>
      <c r="L4" s="13" t="n">
        <v>45968</v>
      </c>
    </row>
    <row r="5" customFormat="false" ht="14.25" hidden="false" customHeight="true" outlineLevel="0" collapsed="false">
      <c r="B5" s="8"/>
      <c r="C5" s="9"/>
      <c r="D5" s="14" t="s">
        <v>4</v>
      </c>
      <c r="E5" s="15" t="s">
        <v>5</v>
      </c>
      <c r="F5" s="15" t="s">
        <v>6</v>
      </c>
      <c r="G5" s="15" t="s">
        <v>7</v>
      </c>
      <c r="H5" s="15" t="s">
        <v>8</v>
      </c>
      <c r="I5" s="15" t="s">
        <v>9</v>
      </c>
      <c r="J5" s="16" t="s">
        <v>10</v>
      </c>
      <c r="K5" s="15" t="s">
        <v>11</v>
      </c>
      <c r="L5" s="17" t="s">
        <v>12</v>
      </c>
    </row>
    <row r="6" customFormat="false" ht="14.25" hidden="false" customHeight="true" outlineLevel="0" collapsed="false">
      <c r="B6" s="18" t="n">
        <v>1</v>
      </c>
      <c r="C6" s="19" t="s">
        <v>13</v>
      </c>
      <c r="D6" s="20" t="n">
        <v>1</v>
      </c>
      <c r="E6" s="21" t="n">
        <v>0.2</v>
      </c>
      <c r="F6" s="21" t="n">
        <v>0.2</v>
      </c>
      <c r="G6" s="21" t="n">
        <v>0.2</v>
      </c>
      <c r="H6" s="21" t="n">
        <v>0.4</v>
      </c>
      <c r="I6" s="21"/>
      <c r="J6" s="22"/>
      <c r="K6" s="21"/>
      <c r="L6" s="23"/>
    </row>
    <row r="7" customFormat="false" ht="14.25" hidden="false" customHeight="true" outlineLevel="0" collapsed="false">
      <c r="B7" s="24" t="n">
        <v>2</v>
      </c>
      <c r="C7" s="25" t="s">
        <v>14</v>
      </c>
      <c r="D7" s="26" t="n">
        <v>3</v>
      </c>
      <c r="E7" s="27"/>
      <c r="F7" s="27"/>
      <c r="G7" s="27" t="n">
        <v>0.2</v>
      </c>
      <c r="H7" s="27" t="n">
        <v>0.4</v>
      </c>
      <c r="I7" s="27" t="n">
        <v>0.6</v>
      </c>
      <c r="J7" s="28" t="n">
        <v>0.8</v>
      </c>
      <c r="K7" s="27" t="n">
        <v>1</v>
      </c>
      <c r="L7" s="29"/>
    </row>
    <row r="8" customFormat="false" ht="14.25" hidden="false" customHeight="true" outlineLevel="0" collapsed="false">
      <c r="B8" s="24" t="n">
        <v>3</v>
      </c>
      <c r="C8" s="25" t="s">
        <v>15</v>
      </c>
      <c r="D8" s="26" t="n">
        <v>1</v>
      </c>
      <c r="E8" s="27"/>
      <c r="F8" s="27"/>
      <c r="G8" s="27"/>
      <c r="H8" s="27"/>
      <c r="I8" s="27"/>
      <c r="J8" s="28" t="n">
        <v>1</v>
      </c>
      <c r="K8" s="27"/>
      <c r="L8" s="29"/>
    </row>
    <row r="9" customFormat="false" ht="14.25" hidden="false" customHeight="true" outlineLevel="0" collapsed="false">
      <c r="B9" s="24" t="n">
        <v>4</v>
      </c>
      <c r="C9" s="25" t="s">
        <v>16</v>
      </c>
      <c r="D9" s="26" t="n">
        <v>2</v>
      </c>
      <c r="E9" s="27"/>
      <c r="F9" s="27"/>
      <c r="G9" s="27"/>
      <c r="H9" s="27"/>
      <c r="I9" s="27"/>
      <c r="J9" s="28"/>
      <c r="K9" s="27" t="n">
        <v>2</v>
      </c>
      <c r="L9" s="29"/>
    </row>
    <row r="10" customFormat="false" ht="14.25" hidden="false" customHeight="true" outlineLevel="0" collapsed="false">
      <c r="B10" s="24" t="n">
        <v>5</v>
      </c>
      <c r="C10" s="25" t="s">
        <v>17</v>
      </c>
      <c r="D10" s="26" t="n">
        <v>1</v>
      </c>
      <c r="E10" s="27"/>
      <c r="F10" s="27"/>
      <c r="G10" s="27"/>
      <c r="H10" s="27"/>
      <c r="I10" s="27"/>
      <c r="J10" s="28"/>
      <c r="K10" s="27"/>
      <c r="L10" s="29" t="n">
        <v>1</v>
      </c>
    </row>
    <row r="11" customFormat="false" ht="14.25" hidden="false" customHeight="true" outlineLevel="0" collapsed="false">
      <c r="B11" s="24" t="n">
        <v>6</v>
      </c>
      <c r="C11" s="30"/>
      <c r="D11" s="26"/>
      <c r="E11" s="27"/>
      <c r="F11" s="27"/>
      <c r="G11" s="27"/>
      <c r="H11" s="27"/>
      <c r="I11" s="27"/>
      <c r="J11" s="28"/>
      <c r="K11" s="27"/>
      <c r="L11" s="29"/>
    </row>
    <row r="12" customFormat="false" ht="14.25" hidden="false" customHeight="true" outlineLevel="0" collapsed="false">
      <c r="B12" s="24" t="n">
        <v>7</v>
      </c>
      <c r="C12" s="30"/>
      <c r="D12" s="26"/>
      <c r="E12" s="27"/>
      <c r="F12" s="27"/>
      <c r="G12" s="27"/>
      <c r="H12" s="27"/>
      <c r="I12" s="27"/>
      <c r="J12" s="28"/>
      <c r="K12" s="27"/>
      <c r="L12" s="29"/>
    </row>
    <row r="13" customFormat="false" ht="14.25" hidden="false" customHeight="true" outlineLevel="0" collapsed="false">
      <c r="B13" s="24" t="n">
        <v>8</v>
      </c>
      <c r="C13" s="30"/>
      <c r="D13" s="26"/>
      <c r="E13" s="27"/>
      <c r="F13" s="27"/>
      <c r="G13" s="27"/>
      <c r="H13" s="27"/>
      <c r="I13" s="27"/>
      <c r="J13" s="28"/>
      <c r="K13" s="27"/>
      <c r="L13" s="29"/>
    </row>
    <row r="14" customFormat="false" ht="14.25" hidden="false" customHeight="true" outlineLevel="0" collapsed="false">
      <c r="B14" s="24" t="n">
        <v>9</v>
      </c>
      <c r="C14" s="30"/>
      <c r="D14" s="26"/>
      <c r="E14" s="27"/>
      <c r="F14" s="27"/>
      <c r="G14" s="27"/>
      <c r="H14" s="27"/>
      <c r="I14" s="27"/>
      <c r="J14" s="28"/>
      <c r="K14" s="27"/>
      <c r="L14" s="29"/>
    </row>
    <row r="15" customFormat="false" ht="14.25" hidden="false" customHeight="true" outlineLevel="0" collapsed="false">
      <c r="B15" s="24" t="n">
        <v>10</v>
      </c>
      <c r="C15" s="30"/>
      <c r="D15" s="26"/>
      <c r="E15" s="27"/>
      <c r="F15" s="27"/>
      <c r="G15" s="27"/>
      <c r="H15" s="27"/>
      <c r="I15" s="27"/>
      <c r="J15" s="28"/>
      <c r="K15" s="27"/>
      <c r="L15" s="29"/>
    </row>
    <row r="16" customFormat="false" ht="14.25" hidden="false" customHeight="true" outlineLevel="0" collapsed="false">
      <c r="B16" s="24" t="n">
        <v>11</v>
      </c>
      <c r="C16" s="31"/>
      <c r="D16" s="26"/>
      <c r="E16" s="27"/>
      <c r="F16" s="27"/>
      <c r="G16" s="27"/>
      <c r="H16" s="27"/>
      <c r="I16" s="27"/>
      <c r="J16" s="28"/>
      <c r="K16" s="27"/>
      <c r="L16" s="29"/>
    </row>
    <row r="17" customFormat="false" ht="14.25" hidden="false" customHeight="true" outlineLevel="0" collapsed="false">
      <c r="B17" s="24" t="n">
        <v>12</v>
      </c>
      <c r="C17" s="30"/>
      <c r="D17" s="26"/>
      <c r="E17" s="27"/>
      <c r="F17" s="27"/>
      <c r="G17" s="27"/>
      <c r="H17" s="27"/>
      <c r="I17" s="27"/>
      <c r="J17" s="28"/>
      <c r="K17" s="27"/>
      <c r="L17" s="29"/>
    </row>
    <row r="18" customFormat="false" ht="14.25" hidden="false" customHeight="true" outlineLevel="0" collapsed="false">
      <c r="B18" s="24" t="n">
        <v>13</v>
      </c>
      <c r="C18" s="30"/>
      <c r="D18" s="26"/>
      <c r="E18" s="27"/>
      <c r="F18" s="27"/>
      <c r="G18" s="27"/>
      <c r="H18" s="27"/>
      <c r="I18" s="27"/>
      <c r="J18" s="28"/>
      <c r="K18" s="27"/>
      <c r="L18" s="29"/>
    </row>
    <row r="19" customFormat="false" ht="14.25" hidden="false" customHeight="true" outlineLevel="0" collapsed="false">
      <c r="B19" s="32" t="n">
        <v>14</v>
      </c>
      <c r="C19" s="33"/>
      <c r="D19" s="34"/>
      <c r="E19" s="35"/>
      <c r="F19" s="35"/>
      <c r="G19" s="35"/>
      <c r="H19" s="35"/>
      <c r="I19" s="35"/>
      <c r="J19" s="36"/>
      <c r="K19" s="35"/>
      <c r="L19" s="37"/>
    </row>
    <row r="20" customFormat="false" ht="14.25" hidden="false" customHeight="true" outlineLevel="0" collapsed="false">
      <c r="B20" s="38" t="s">
        <v>18</v>
      </c>
      <c r="C20" s="38"/>
      <c r="D20" s="39" t="n">
        <v>0</v>
      </c>
      <c r="E20" s="40" t="n">
        <f aca="false">SUM(E6:E19)</f>
        <v>0.2</v>
      </c>
      <c r="F20" s="40" t="n">
        <f aca="false">SUM(F6:F19)</f>
        <v>0.2</v>
      </c>
      <c r="G20" s="40" t="n">
        <f aca="false">SUM(G6:G19)</f>
        <v>0.4</v>
      </c>
      <c r="H20" s="40" t="n">
        <f aca="false">SUM(H6:H19)</f>
        <v>0.8</v>
      </c>
      <c r="I20" s="40" t="n">
        <f aca="false">SUM(I6:I19)</f>
        <v>0.6</v>
      </c>
      <c r="J20" s="41" t="n">
        <f aca="false">SUM(J6:J19)</f>
        <v>1.8</v>
      </c>
      <c r="K20" s="41" t="n">
        <f aca="false">SUM(K6:K19)</f>
        <v>3</v>
      </c>
      <c r="L20" s="42" t="n">
        <f aca="false">SUM(L6:L19)</f>
        <v>1</v>
      </c>
    </row>
    <row r="21" customFormat="false" ht="14.25" hidden="false" customHeight="true" outlineLevel="0" collapsed="false">
      <c r="B21" s="43" t="s">
        <v>19</v>
      </c>
      <c r="C21" s="43"/>
      <c r="D21" s="44" t="n">
        <f aca="false">SUM(D6:D20)</f>
        <v>8</v>
      </c>
      <c r="E21" s="45" t="n">
        <f aca="false">D21-SUM(E6:E19)</f>
        <v>7.8</v>
      </c>
      <c r="F21" s="45" t="n">
        <f aca="false">E21-SUM(F6:F19)</f>
        <v>7.6</v>
      </c>
      <c r="G21" s="45" t="n">
        <f aca="false">F21-SUM(G6:G19)</f>
        <v>7.2</v>
      </c>
      <c r="H21" s="45" t="n">
        <f aca="false">G21-SUM(H6:H19)</f>
        <v>6.4</v>
      </c>
      <c r="I21" s="45" t="n">
        <f aca="false">H21-SUM(I6:I19)</f>
        <v>5.8</v>
      </c>
      <c r="J21" s="46" t="n">
        <f aca="false">I21-SUM(J6:J19)</f>
        <v>4</v>
      </c>
      <c r="K21" s="47" t="n">
        <f aca="false">J21-SUM(K6:K19)</f>
        <v>1</v>
      </c>
      <c r="L21" s="48" t="n">
        <f aca="false">K21-SUM(L6:L19)</f>
        <v>0</v>
      </c>
    </row>
    <row r="22" customFormat="false" ht="14.25" hidden="false" customHeight="true" outlineLevel="0" collapsed="false">
      <c r="B22" s="49" t="s">
        <v>20</v>
      </c>
      <c r="C22" s="49"/>
      <c r="D22" s="50" t="n">
        <f aca="false">D21</f>
        <v>8</v>
      </c>
      <c r="E22" s="51" t="n">
        <f aca="false">$D$22-($D$22/10*1)</f>
        <v>7.2</v>
      </c>
      <c r="F22" s="51" t="n">
        <f aca="false">$D$22-($D$22/10*2)</f>
        <v>6.4</v>
      </c>
      <c r="G22" s="51" t="n">
        <f aca="false">$D$22-($D$22/10*3)</f>
        <v>5.6</v>
      </c>
      <c r="H22" s="51" t="n">
        <f aca="false">$D$22-($D$22/10*4)</f>
        <v>4.8</v>
      </c>
      <c r="I22" s="51" t="n">
        <f aca="false">$D$22-($D$22/10*5)</f>
        <v>4</v>
      </c>
      <c r="J22" s="52" t="n">
        <f aca="false">$D$22-($D$22/10*6)</f>
        <v>3.2</v>
      </c>
      <c r="K22" s="51" t="n">
        <f aca="false">$D$22-($D$22/10*7)</f>
        <v>2.4</v>
      </c>
      <c r="L22" s="53" t="n">
        <f aca="false">$D$22-($D$22/10*8)</f>
        <v>1.6</v>
      </c>
    </row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7">
    <mergeCell ref="B2:L2"/>
    <mergeCell ref="E3:I3"/>
    <mergeCell ref="B4:B5"/>
    <mergeCell ref="C4:C5"/>
    <mergeCell ref="B20:C20"/>
    <mergeCell ref="B21:C21"/>
    <mergeCell ref="B22:C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1000"/>
  <sheetViews>
    <sheetView showFormulas="false" showGridLines="true" showRowColHeaders="true" showZeros="true" rightToLeft="false" tabSelected="true" showOutlineSymbols="true" defaultGridColor="true" view="normal" topLeftCell="A1" colorId="64" zoomScale="79" zoomScaleNormal="79" zoomScalePageLayoutView="100" workbookViewId="0">
      <selection pane="topLeft" activeCell="F15" activeCellId="0" sqref="F15"/>
    </sheetView>
  </sheetViews>
  <sheetFormatPr defaultColWidth="14.453125" defaultRowHeight="15" customHeight="true" zeroHeight="false" outlineLevelRow="0" outlineLevelCol="0"/>
  <cols>
    <col collapsed="false" customWidth="true" hidden="false" outlineLevel="0" max="1" min="1" style="0" width="8.73"/>
    <col collapsed="false" customWidth="true" hidden="false" outlineLevel="0" max="2" min="2" style="0" width="7.18"/>
    <col collapsed="false" customWidth="true" hidden="false" outlineLevel="0" max="3" min="3" style="0" width="73.09"/>
    <col collapsed="false" customWidth="true" hidden="false" outlineLevel="0" max="4" min="4" style="0" width="15.73"/>
    <col collapsed="false" customWidth="true" hidden="false" outlineLevel="0" max="12" min="5" style="0" width="10"/>
    <col collapsed="false" customWidth="true" hidden="true" outlineLevel="0" max="13" min="13" style="0" width="10"/>
    <col collapsed="false" customWidth="true" hidden="false" outlineLevel="0" max="14" min="14" style="0" width="10"/>
    <col collapsed="false" customWidth="true" hidden="false" outlineLevel="0" max="26" min="15" style="0" width="8.73"/>
  </cols>
  <sheetData>
    <row r="1" customFormat="false" ht="14.25" hidden="false" customHeight="true" outlineLevel="0" collapsed="false"/>
    <row r="2" customFormat="false" ht="14.2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4.25" hidden="false" customHeight="true" outlineLevel="0" collapsed="false">
      <c r="B3" s="2"/>
      <c r="C3" s="3"/>
      <c r="D3" s="3"/>
      <c r="E3" s="4"/>
      <c r="F3" s="4"/>
      <c r="G3" s="4"/>
      <c r="H3" s="4"/>
      <c r="I3" s="4"/>
      <c r="J3" s="5"/>
      <c r="K3" s="6"/>
      <c r="L3" s="7"/>
    </row>
    <row r="4" customFormat="false" ht="14.25" hidden="false" customHeight="true" outlineLevel="0" collapsed="false">
      <c r="B4" s="8" t="s">
        <v>1</v>
      </c>
      <c r="C4" s="9" t="s">
        <v>2</v>
      </c>
      <c r="D4" s="10" t="s">
        <v>3</v>
      </c>
      <c r="E4" s="11" t="n">
        <v>45992</v>
      </c>
      <c r="F4" s="11" t="n">
        <v>45993</v>
      </c>
      <c r="G4" s="11" t="n">
        <v>45994</v>
      </c>
      <c r="H4" s="11" t="n">
        <v>45995</v>
      </c>
      <c r="I4" s="11"/>
      <c r="J4" s="11"/>
      <c r="K4" s="11"/>
      <c r="L4" s="11"/>
    </row>
    <row r="5" customFormat="false" ht="14.25" hidden="false" customHeight="true" outlineLevel="0" collapsed="false">
      <c r="B5" s="8"/>
      <c r="C5" s="9"/>
      <c r="D5" s="14" t="s">
        <v>4</v>
      </c>
      <c r="E5" s="15" t="s">
        <v>5</v>
      </c>
      <c r="F5" s="15" t="s">
        <v>6</v>
      </c>
      <c r="G5" s="15" t="s">
        <v>7</v>
      </c>
      <c r="H5" s="15" t="s">
        <v>8</v>
      </c>
      <c r="I5" s="15"/>
      <c r="J5" s="16"/>
      <c r="K5" s="15"/>
      <c r="L5" s="17"/>
    </row>
    <row r="6" customFormat="false" ht="14.25" hidden="false" customHeight="true" outlineLevel="0" collapsed="false">
      <c r="B6" s="18" t="n">
        <v>1</v>
      </c>
      <c r="C6" s="19" t="s">
        <v>21</v>
      </c>
      <c r="D6" s="20" t="n">
        <v>6</v>
      </c>
      <c r="E6" s="21"/>
      <c r="F6" s="21" t="n">
        <v>1</v>
      </c>
      <c r="G6" s="21" t="n">
        <v>1</v>
      </c>
      <c r="H6" s="21" t="n">
        <v>4</v>
      </c>
      <c r="I6" s="21"/>
      <c r="J6" s="22"/>
      <c r="K6" s="21"/>
      <c r="L6" s="23"/>
    </row>
    <row r="7" customFormat="false" ht="14.25" hidden="false" customHeight="true" outlineLevel="0" collapsed="false">
      <c r="B7" s="24" t="n">
        <v>2</v>
      </c>
      <c r="C7" s="25" t="s">
        <v>17</v>
      </c>
      <c r="D7" s="26" t="n">
        <v>4</v>
      </c>
      <c r="E7" s="27"/>
      <c r="F7" s="27"/>
      <c r="G7" s="27" t="n">
        <v>2</v>
      </c>
      <c r="H7" s="27" t="n">
        <v>2</v>
      </c>
      <c r="I7" s="27"/>
      <c r="J7" s="28"/>
      <c r="K7" s="27"/>
      <c r="L7" s="29"/>
    </row>
    <row r="8" customFormat="false" ht="14.25" hidden="false" customHeight="true" outlineLevel="0" collapsed="false">
      <c r="B8" s="24" t="n">
        <v>3</v>
      </c>
      <c r="C8" s="25"/>
      <c r="D8" s="26"/>
      <c r="E8" s="27"/>
      <c r="F8" s="27"/>
      <c r="G8" s="27"/>
      <c r="H8" s="27"/>
      <c r="I8" s="27"/>
      <c r="J8" s="28"/>
      <c r="K8" s="27"/>
      <c r="L8" s="29"/>
    </row>
    <row r="9" customFormat="false" ht="14.25" hidden="false" customHeight="true" outlineLevel="0" collapsed="false">
      <c r="B9" s="24" t="n">
        <v>4</v>
      </c>
      <c r="C9" s="25"/>
      <c r="D9" s="26"/>
      <c r="E9" s="27"/>
      <c r="F9" s="27"/>
      <c r="G9" s="27"/>
      <c r="H9" s="27"/>
      <c r="I9" s="27"/>
      <c r="J9" s="28"/>
      <c r="K9" s="27"/>
      <c r="L9" s="29"/>
    </row>
    <row r="10" customFormat="false" ht="14.25" hidden="false" customHeight="true" outlineLevel="0" collapsed="false">
      <c r="B10" s="24" t="n">
        <v>5</v>
      </c>
      <c r="D10" s="26"/>
      <c r="E10" s="27"/>
      <c r="F10" s="27"/>
      <c r="G10" s="27"/>
      <c r="H10" s="27"/>
      <c r="I10" s="27"/>
      <c r="J10" s="28"/>
      <c r="K10" s="27"/>
      <c r="L10" s="29"/>
    </row>
    <row r="11" customFormat="false" ht="14.25" hidden="false" customHeight="true" outlineLevel="0" collapsed="false">
      <c r="B11" s="24" t="n">
        <v>6</v>
      </c>
      <c r="C11" s="30"/>
      <c r="D11" s="26"/>
      <c r="E11" s="27"/>
      <c r="F11" s="27"/>
      <c r="G11" s="27"/>
      <c r="H11" s="27"/>
      <c r="I11" s="27"/>
      <c r="J11" s="28"/>
      <c r="K11" s="27"/>
      <c r="L11" s="29"/>
    </row>
    <row r="12" customFormat="false" ht="14.25" hidden="false" customHeight="true" outlineLevel="0" collapsed="false">
      <c r="B12" s="24" t="n">
        <v>7</v>
      </c>
      <c r="C12" s="30"/>
      <c r="D12" s="26"/>
      <c r="E12" s="27"/>
      <c r="F12" s="27"/>
      <c r="G12" s="27"/>
      <c r="H12" s="27"/>
      <c r="I12" s="27"/>
      <c r="J12" s="28"/>
      <c r="K12" s="27"/>
      <c r="L12" s="29"/>
    </row>
    <row r="13" customFormat="false" ht="14.25" hidden="false" customHeight="true" outlineLevel="0" collapsed="false">
      <c r="B13" s="24" t="n">
        <v>8</v>
      </c>
      <c r="C13" s="30"/>
      <c r="D13" s="26"/>
      <c r="E13" s="27"/>
      <c r="F13" s="27"/>
      <c r="G13" s="27"/>
      <c r="H13" s="27"/>
      <c r="I13" s="27"/>
      <c r="J13" s="28"/>
      <c r="K13" s="27"/>
      <c r="L13" s="29"/>
    </row>
    <row r="14" customFormat="false" ht="14.25" hidden="false" customHeight="true" outlineLevel="0" collapsed="false">
      <c r="B14" s="24" t="n">
        <v>9</v>
      </c>
      <c r="C14" s="30"/>
      <c r="D14" s="26"/>
      <c r="E14" s="27"/>
      <c r="F14" s="27"/>
      <c r="G14" s="27"/>
      <c r="H14" s="27"/>
      <c r="I14" s="27"/>
      <c r="J14" s="28"/>
      <c r="K14" s="27"/>
      <c r="L14" s="29"/>
    </row>
    <row r="15" customFormat="false" ht="14.25" hidden="false" customHeight="true" outlineLevel="0" collapsed="false">
      <c r="B15" s="24" t="n">
        <v>10</v>
      </c>
      <c r="C15" s="30"/>
      <c r="D15" s="26"/>
      <c r="E15" s="27"/>
      <c r="F15" s="27"/>
      <c r="G15" s="27"/>
      <c r="H15" s="27"/>
      <c r="I15" s="27"/>
      <c r="J15" s="28"/>
      <c r="K15" s="27"/>
      <c r="L15" s="29"/>
    </row>
    <row r="16" customFormat="false" ht="14.25" hidden="false" customHeight="true" outlineLevel="0" collapsed="false">
      <c r="B16" s="24" t="n">
        <v>11</v>
      </c>
      <c r="C16" s="31"/>
      <c r="D16" s="26"/>
      <c r="E16" s="27"/>
      <c r="F16" s="27"/>
      <c r="G16" s="27"/>
      <c r="H16" s="27"/>
      <c r="I16" s="27"/>
      <c r="J16" s="28"/>
      <c r="K16" s="27"/>
      <c r="L16" s="29"/>
    </row>
    <row r="17" customFormat="false" ht="14.25" hidden="false" customHeight="true" outlineLevel="0" collapsed="false">
      <c r="B17" s="24" t="n">
        <v>12</v>
      </c>
      <c r="C17" s="30"/>
      <c r="D17" s="26"/>
      <c r="E17" s="27"/>
      <c r="F17" s="27"/>
      <c r="G17" s="27"/>
      <c r="H17" s="27"/>
      <c r="I17" s="27"/>
      <c r="J17" s="28"/>
      <c r="K17" s="27"/>
      <c r="L17" s="29"/>
    </row>
    <row r="18" customFormat="false" ht="14.25" hidden="false" customHeight="true" outlineLevel="0" collapsed="false">
      <c r="B18" s="24" t="n">
        <v>13</v>
      </c>
      <c r="C18" s="30"/>
      <c r="D18" s="26"/>
      <c r="E18" s="27"/>
      <c r="F18" s="27"/>
      <c r="G18" s="27"/>
      <c r="H18" s="27"/>
      <c r="I18" s="27"/>
      <c r="J18" s="28"/>
      <c r="K18" s="27"/>
      <c r="L18" s="29"/>
    </row>
    <row r="19" customFormat="false" ht="14.25" hidden="false" customHeight="true" outlineLevel="0" collapsed="false">
      <c r="B19" s="32" t="n">
        <v>14</v>
      </c>
      <c r="C19" s="33"/>
      <c r="D19" s="34"/>
      <c r="E19" s="35"/>
      <c r="F19" s="35"/>
      <c r="G19" s="35"/>
      <c r="H19" s="35"/>
      <c r="I19" s="35"/>
      <c r="J19" s="36"/>
      <c r="K19" s="35"/>
      <c r="L19" s="37"/>
    </row>
    <row r="20" customFormat="false" ht="14.25" hidden="false" customHeight="true" outlineLevel="0" collapsed="false">
      <c r="B20" s="38" t="s">
        <v>18</v>
      </c>
      <c r="C20" s="38"/>
      <c r="D20" s="39" t="n">
        <v>0</v>
      </c>
      <c r="E20" s="40" t="n">
        <f aca="false">SUM(E6:E19)</f>
        <v>0</v>
      </c>
      <c r="F20" s="40" t="n">
        <f aca="false">SUM(F6:F19)</f>
        <v>1</v>
      </c>
      <c r="G20" s="40" t="n">
        <f aca="false">SUM(G6:G19)</f>
        <v>3</v>
      </c>
      <c r="H20" s="40" t="n">
        <f aca="false">SUM(H6:H19)</f>
        <v>6</v>
      </c>
      <c r="I20" s="40"/>
      <c r="J20" s="41"/>
      <c r="K20" s="41"/>
      <c r="L20" s="42"/>
    </row>
    <row r="21" customFormat="false" ht="14.25" hidden="false" customHeight="true" outlineLevel="0" collapsed="false">
      <c r="B21" s="43" t="s">
        <v>19</v>
      </c>
      <c r="C21" s="43"/>
      <c r="D21" s="44" t="n">
        <f aca="false">SUM(D6:D20)</f>
        <v>10</v>
      </c>
      <c r="E21" s="45" t="n">
        <f aca="false">D21-SUM(E6:E19)</f>
        <v>10</v>
      </c>
      <c r="F21" s="45" t="n">
        <f aca="false">E21-SUM(F6:F19)</f>
        <v>9</v>
      </c>
      <c r="G21" s="45" t="n">
        <f aca="false">F21-SUM(G6:G19)</f>
        <v>6</v>
      </c>
      <c r="H21" s="45" t="n">
        <f aca="false">G21-SUM(H6:H19)</f>
        <v>0</v>
      </c>
      <c r="I21" s="45"/>
      <c r="J21" s="46"/>
      <c r="K21" s="47"/>
      <c r="L21" s="48"/>
    </row>
    <row r="22" customFormat="false" ht="14.25" hidden="false" customHeight="true" outlineLevel="0" collapsed="false">
      <c r="B22" s="49" t="s">
        <v>20</v>
      </c>
      <c r="C22" s="49"/>
      <c r="D22" s="50" t="n">
        <f aca="false">D21</f>
        <v>10</v>
      </c>
      <c r="E22" s="51" t="n">
        <f aca="false">$D$22-($D$22/10*1)</f>
        <v>9</v>
      </c>
      <c r="F22" s="51" t="n">
        <f aca="false">$D$22-($D$22/10*2)</f>
        <v>8</v>
      </c>
      <c r="G22" s="51" t="n">
        <f aca="false">$D$22-($D$22/10*3)</f>
        <v>7</v>
      </c>
      <c r="H22" s="51" t="n">
        <f aca="false">$D$22-($D$22/10*4)</f>
        <v>6</v>
      </c>
      <c r="I22" s="51"/>
      <c r="J22" s="52"/>
      <c r="K22" s="51"/>
      <c r="L22" s="53"/>
    </row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7">
    <mergeCell ref="B2:L2"/>
    <mergeCell ref="E3:I3"/>
    <mergeCell ref="B4:B5"/>
    <mergeCell ref="C4:C5"/>
    <mergeCell ref="B20:C20"/>
    <mergeCell ref="B21:C21"/>
    <mergeCell ref="B22:C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2021-11-14T17:33:15Z</dcterms:created>
  <dc:creator>Diogo Almeida</dc:creator>
  <dc:description/>
  <dc:language>pt-PT</dc:language>
  <cp:lastModifiedBy/>
  <dcterms:modified xsi:type="dcterms:W3CDTF">2025-12-04T15:55:03Z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