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ev\SE2526_66565_67196_67215_68509_68663_70116\SE202526\Management\"/>
    </mc:Choice>
  </mc:AlternateContent>
  <xr:revisionPtr revIDLastSave="0" documentId="13_ncr:1_{82B8CEC3-265B-4E97-BA6C-5F2E2DD5BC12}" xr6:coauthVersionLast="47" xr6:coauthVersionMax="47" xr10:uidLastSave="{00000000-0000-0000-0000-000000000000}"/>
  <bookViews>
    <workbookView xWindow="-110" yWindow="-110" windowWidth="25820" windowHeight="14620" tabRatio="500" xr2:uid="{00000000-000D-0000-FFFF-FFFF00000000}"/>
  </bookViews>
  <sheets>
    <sheet name="Burndown Char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1" l="1"/>
  <c r="E21" i="1" s="1"/>
  <c r="F21" i="1" s="1"/>
  <c r="G21" i="1" s="1"/>
  <c r="H21" i="1" s="1"/>
  <c r="I21" i="1" s="1"/>
  <c r="J21" i="1" s="1"/>
  <c r="K21" i="1" s="1"/>
  <c r="L21" i="1" s="1"/>
  <c r="L20" i="1"/>
  <c r="K20" i="1"/>
  <c r="J20" i="1"/>
  <c r="I20" i="1"/>
  <c r="H20" i="1"/>
  <c r="G20" i="1"/>
  <c r="F20" i="1"/>
  <c r="E20" i="1"/>
  <c r="D22" i="1" l="1"/>
  <c r="L22" i="1" l="1"/>
  <c r="K22" i="1"/>
  <c r="J22" i="1"/>
  <c r="I22" i="1"/>
  <c r="H22" i="1"/>
  <c r="G22" i="1"/>
  <c r="F22" i="1"/>
  <c r="E22" i="1"/>
</calcChain>
</file>

<file path=xl/sharedStrings.xml><?xml version="1.0" encoding="utf-8"?>
<sst xmlns="http://schemas.openxmlformats.org/spreadsheetml/2006/main" count="19" uniqueCount="19">
  <si>
    <t>Sprint Burndown Chart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</si>
  <si>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</si>
  <si>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</si>
  <si>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</si>
  <si>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</si>
  <si>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</si>
  <si>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</si>
  <si>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</si>
  <si>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</si>
  <si>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</si>
  <si>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</si>
  <si>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</si>
  <si>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</si>
  <si>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Esforço Completo</t>
  </si>
  <si>
    <t>Esforço Restante</t>
  </si>
  <si>
    <r>
      <rPr>
        <b/>
        <i/>
        <sz val="11"/>
        <color theme="1"/>
        <rFont val="Calibri"/>
        <family val="2"/>
        <charset val="1"/>
      </rPr>
      <t xml:space="preserve">Burndown </t>
    </r>
    <r>
      <rPr>
        <b/>
        <sz val="11"/>
        <color theme="1"/>
        <rFont val="Calibri"/>
        <family val="2"/>
        <charset val="1"/>
      </rPr>
      <t>Ideal</t>
    </r>
  </si>
  <si>
    <t>Plan upgrades for user stories</t>
  </si>
  <si>
    <t>Review code and documenting</t>
  </si>
  <si>
    <t>Implementing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</si>
</sst>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m/yy"/>
    <numFmt numFmtId="165" formatCode="0.0"/>
  </numFmts>
  <fonts count="7" x14ac:knownFonts="1">
    <font>
      <sz val="11"/>
      <color theme="1"/>
      <name val="Calibri"/>
      <charset val="1"/>
    </font>
    <font>
      <sz val="16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b/>
      <i/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D8D8D8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D0CECE"/>
      </patternFill>
    </fill>
    <fill>
      <patternFill patternType="solid">
        <fgColor rgb="FFC5E0B3"/>
        <bgColor rgb="FFD8D8D8"/>
      </patternFill>
    </fill>
  </fills>
  <borders count="3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3" xfId="0" applyFont="1" applyBorder="1"/>
    <xf numFmtId="0" fontId="4" fillId="0" borderId="3" xfId="0" applyFont="1" applyBorder="1"/>
    <xf numFmtId="0" fontId="4" fillId="0" borderId="4" xfId="0" applyFont="1" applyBorder="1"/>
    <xf numFmtId="0" fontId="3" fillId="4" borderId="7" xfId="0" applyFont="1" applyFill="1" applyBorder="1" applyAlignment="1">
      <alignment horizontal="center"/>
    </xf>
    <xf numFmtId="164" fontId="3" fillId="3" borderId="8" xfId="0" applyNumberFormat="1" applyFont="1" applyFill="1" applyBorder="1" applyAlignment="1">
      <alignment horizontal="center"/>
    </xf>
    <xf numFmtId="164" fontId="3" fillId="3" borderId="9" xfId="0" applyNumberFormat="1" applyFont="1" applyFill="1" applyBorder="1" applyAlignment="1">
      <alignment horizontal="center"/>
    </xf>
    <xf numFmtId="164" fontId="3" fillId="3" borderId="10" xfId="0" applyNumberFormat="1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right" wrapText="1"/>
    </xf>
    <xf numFmtId="0" fontId="2" fillId="5" borderId="16" xfId="0" applyFont="1" applyFill="1" applyBorder="1" applyAlignment="1">
      <alignment horizontal="center" wrapText="1"/>
    </xf>
    <xf numFmtId="0" fontId="2" fillId="6" borderId="17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right" wrapText="1"/>
    </xf>
    <xf numFmtId="0" fontId="2" fillId="5" borderId="21" xfId="0" applyFont="1" applyFill="1" applyBorder="1" applyAlignment="1">
      <alignment horizontal="center" wrapText="1"/>
    </xf>
    <xf numFmtId="0" fontId="2" fillId="6" borderId="22" xfId="0" applyFont="1" applyFill="1" applyBorder="1" applyAlignment="1">
      <alignment horizontal="center"/>
    </xf>
    <xf numFmtId="0" fontId="2" fillId="7" borderId="21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wrapText="1"/>
    </xf>
    <xf numFmtId="0" fontId="2" fillId="5" borderId="21" xfId="0" applyFont="1" applyFill="1" applyBorder="1" applyAlignment="1">
      <alignment horizontal="left" wrapText="1"/>
    </xf>
    <xf numFmtId="0" fontId="2" fillId="5" borderId="25" xfId="0" applyFont="1" applyFill="1" applyBorder="1" applyAlignment="1">
      <alignment horizontal="right" wrapText="1"/>
    </xf>
    <xf numFmtId="0" fontId="2" fillId="5" borderId="26" xfId="0" applyFont="1" applyFill="1" applyBorder="1" applyAlignment="1">
      <alignment wrapText="1"/>
    </xf>
    <xf numFmtId="0" fontId="2" fillId="6" borderId="27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29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1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9" borderId="22" xfId="0" applyFont="1" applyFill="1" applyBorder="1" applyAlignment="1">
      <alignment horizontal="center"/>
    </xf>
    <xf numFmtId="165" fontId="2" fillId="9" borderId="21" xfId="0" applyNumberFormat="1" applyFont="1" applyFill="1" applyBorder="1" applyAlignment="1">
      <alignment horizontal="center"/>
    </xf>
    <xf numFmtId="165" fontId="2" fillId="9" borderId="18" xfId="0" applyNumberFormat="1" applyFont="1" applyFill="1" applyBorder="1" applyAlignment="1">
      <alignment horizontal="center"/>
    </xf>
    <xf numFmtId="165" fontId="2" fillId="9" borderId="32" xfId="0" applyNumberFormat="1" applyFont="1" applyFill="1" applyBorder="1" applyAlignment="1">
      <alignment horizontal="center"/>
    </xf>
    <xf numFmtId="165" fontId="2" fillId="9" borderId="19" xfId="0" applyNumberFormat="1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/>
    </xf>
    <xf numFmtId="165" fontId="2" fillId="10" borderId="12" xfId="0" applyNumberFormat="1" applyFont="1" applyFill="1" applyBorder="1" applyAlignment="1">
      <alignment horizontal="center"/>
    </xf>
    <xf numFmtId="165" fontId="2" fillId="10" borderId="13" xfId="0" applyNumberFormat="1" applyFont="1" applyFill="1" applyBorder="1" applyAlignment="1">
      <alignment horizontal="center"/>
    </xf>
    <xf numFmtId="165" fontId="2" fillId="10" borderId="14" xfId="0" applyNumberFormat="1" applyFont="1" applyFill="1" applyBorder="1" applyAlignment="1">
      <alignment horizontal="center"/>
    </xf>
    <xf numFmtId="0" fontId="3" fillId="9" borderId="15" xfId="0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D8D8D8"/>
      <rgbColor rgb="FFD0CECE"/>
      <rgbColor rgb="FFFF99CC"/>
      <rgbColor rgb="FFCC99FF"/>
      <rgbColor rgb="FFF7CAAC"/>
      <rgbColor rgb="FF3366FF"/>
      <rgbColor rgb="FF33CCCC"/>
      <rgbColor rgb="FF99CC00"/>
      <rgbColor rgb="FFFFC000"/>
      <rgbColor rgb="FFFF9900"/>
      <rgbColor rgb="FFFF6600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PT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Esforço Completo</c:v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Chart'!$D$20:$L$20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3.5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A-42BA-A876-FB0052D82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v>Esforço Restante</c:v>
          </c:tx>
          <c:spPr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Chart'!$D$21:$L$21</c:f>
              <c:numCache>
                <c:formatCode>0.0</c:formatCode>
                <c:ptCount val="9"/>
                <c:pt idx="0" formatCode="General">
                  <c:v>20</c:v>
                </c:pt>
                <c:pt idx="1">
                  <c:v>20</c:v>
                </c:pt>
                <c:pt idx="2">
                  <c:v>18</c:v>
                </c:pt>
                <c:pt idx="3">
                  <c:v>14.5</c:v>
                </c:pt>
                <c:pt idx="4">
                  <c:v>11.5</c:v>
                </c:pt>
                <c:pt idx="5">
                  <c:v>10.5</c:v>
                </c:pt>
                <c:pt idx="6">
                  <c:v>8.5</c:v>
                </c:pt>
                <c:pt idx="7">
                  <c:v>7.5</c:v>
                </c:pt>
                <c:pt idx="8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4A-42BA-A876-FB0052D82B52}"/>
            </c:ext>
          </c:extLst>
        </c:ser>
        <c:ser>
          <c:idx val="2"/>
          <c:order val="2"/>
          <c:tx>
            <c:v>Burndown Ideal</c:v>
          </c:tx>
          <c:spPr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Chart'!$D$22:$L$22</c:f>
              <c:numCache>
                <c:formatCode>0.0</c:formatCode>
                <c:ptCount val="9"/>
                <c:pt idx="0" formatCode="General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4A-42BA-A876-FB0052D82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pt-PT"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000"/>
  <sheetViews>
    <sheetView tabSelected="1" zoomScale="70" zoomScaleNormal="70" workbookViewId="0">
      <selection activeCell="K28" sqref="K28"/>
    </sheetView>
  </sheetViews>
  <sheetFormatPr defaultColWidth="14.453125" defaultRowHeight="15" customHeight="1" x14ac:dyDescent="0.35"/>
  <cols>
    <col min="1" max="1" width="8.7265625" customWidth="1"/>
    <col min="2" max="2" width="7.1796875" customWidth="1"/>
    <col min="3" max="3" width="73.08984375" customWidth="1"/>
    <col min="4" max="4" width="15.7265625" customWidth="1"/>
    <col min="5" max="14" width="10" customWidth="1"/>
    <col min="15" max="26" width="8.7265625" customWidth="1"/>
  </cols>
  <sheetData>
    <row r="1" spans="2:12" ht="14.25" customHeight="1" x14ac:dyDescent="0.35"/>
    <row r="2" spans="2:12" ht="14.25" customHeight="1" x14ac:dyDescent="0.35">
      <c r="B2" s="50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4.25" customHeight="1" x14ac:dyDescent="0.35">
      <c r="B3" s="1"/>
      <c r="C3" s="2"/>
      <c r="D3" s="2"/>
      <c r="E3" s="51"/>
      <c r="F3" s="51"/>
      <c r="G3" s="51"/>
      <c r="H3" s="51"/>
      <c r="I3" s="51"/>
      <c r="J3" s="3"/>
      <c r="K3" s="4"/>
      <c r="L3" s="5"/>
    </row>
    <row r="4" spans="2:12" ht="14.25" customHeight="1" x14ac:dyDescent="0.35">
      <c r="B4" s="52" t="s">
        <v>1</v>
      </c>
      <c r="C4" s="53" t="s">
        <v>2</v>
      </c>
      <c r="D4" s="6" t="s">
        <v>3</v>
      </c>
      <c r="E4" s="7">
        <v>45971</v>
      </c>
      <c r="F4" s="7">
        <v>45972</v>
      </c>
      <c r="G4" s="7">
        <v>45973</v>
      </c>
      <c r="H4" s="7">
        <v>45974</v>
      </c>
      <c r="I4" s="7">
        <v>45975</v>
      </c>
      <c r="J4" s="8">
        <v>45976</v>
      </c>
      <c r="K4" s="7">
        <v>45977</v>
      </c>
      <c r="L4" s="9">
        <v>45978</v>
      </c>
    </row>
    <row r="5" spans="2:12" ht="14.25" customHeight="1" x14ac:dyDescent="0.35">
      <c r="B5" s="52"/>
      <c r="C5" s="53"/>
      <c r="D5" s="10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2" t="s">
        <v>10</v>
      </c>
      <c r="K5" s="11" t="s">
        <v>11</v>
      </c>
      <c r="L5" s="13" t="s">
        <v>12</v>
      </c>
    </row>
    <row r="6" spans="2:12" ht="14.25" customHeight="1" x14ac:dyDescent="0.35">
      <c r="B6" s="14">
        <v>1</v>
      </c>
      <c r="C6" s="15" t="s">
        <v>16</v>
      </c>
      <c r="D6" s="16">
        <v>6</v>
      </c>
      <c r="E6" s="17">
        <v>0</v>
      </c>
      <c r="F6" s="17">
        <v>2</v>
      </c>
      <c r="G6" s="17">
        <v>3</v>
      </c>
      <c r="H6" s="17">
        <v>1</v>
      </c>
      <c r="I6" s="17">
        <v>0</v>
      </c>
      <c r="J6" s="18">
        <v>0</v>
      </c>
      <c r="K6" s="17">
        <v>0</v>
      </c>
      <c r="L6" s="19">
        <v>0</v>
      </c>
    </row>
    <row r="7" spans="2:12" ht="14.25" customHeight="1" x14ac:dyDescent="0.35">
      <c r="B7" s="20">
        <v>2</v>
      </c>
      <c r="C7" s="21" t="s">
        <v>18</v>
      </c>
      <c r="D7" s="22">
        <v>10</v>
      </c>
      <c r="E7" s="23">
        <v>0</v>
      </c>
      <c r="F7" s="23">
        <v>0</v>
      </c>
      <c r="G7" s="23">
        <v>0.5</v>
      </c>
      <c r="H7" s="23">
        <v>2</v>
      </c>
      <c r="I7" s="23">
        <v>1</v>
      </c>
      <c r="J7" s="24">
        <v>2</v>
      </c>
      <c r="K7" s="23">
        <v>1</v>
      </c>
      <c r="L7" s="25">
        <v>1</v>
      </c>
    </row>
    <row r="8" spans="2:12" ht="14.25" customHeight="1" x14ac:dyDescent="0.35">
      <c r="B8" s="20">
        <v>3</v>
      </c>
      <c r="C8" s="21" t="s">
        <v>17</v>
      </c>
      <c r="D8" s="22">
        <v>4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0</v>
      </c>
      <c r="L8" s="25">
        <v>0</v>
      </c>
    </row>
    <row r="9" spans="2:12" ht="14.25" customHeight="1" x14ac:dyDescent="0.35">
      <c r="B9" s="20">
        <v>4</v>
      </c>
      <c r="C9" s="26"/>
      <c r="D9" s="22"/>
      <c r="E9" s="23"/>
      <c r="F9" s="23"/>
      <c r="G9" s="23"/>
      <c r="H9" s="23"/>
      <c r="I9" s="23"/>
      <c r="J9" s="24"/>
      <c r="K9" s="23"/>
      <c r="L9" s="25"/>
    </row>
    <row r="10" spans="2:12" ht="14.25" customHeight="1" x14ac:dyDescent="0.35">
      <c r="B10" s="20">
        <v>5</v>
      </c>
      <c r="C10" s="21"/>
      <c r="D10" s="22"/>
      <c r="E10" s="23"/>
      <c r="F10" s="23"/>
      <c r="G10" s="23"/>
      <c r="H10" s="23"/>
      <c r="I10" s="23"/>
      <c r="J10" s="24"/>
      <c r="K10" s="23"/>
      <c r="L10" s="25"/>
    </row>
    <row r="11" spans="2:12" ht="14.25" customHeight="1" x14ac:dyDescent="0.35">
      <c r="B11" s="20">
        <v>6</v>
      </c>
      <c r="C11" s="27"/>
      <c r="D11" s="22"/>
      <c r="E11" s="23"/>
      <c r="F11" s="23"/>
      <c r="G11" s="23"/>
      <c r="H11" s="23"/>
      <c r="I11" s="23"/>
      <c r="J11" s="24"/>
      <c r="K11" s="23"/>
      <c r="L11" s="25"/>
    </row>
    <row r="12" spans="2:12" ht="14.25" customHeight="1" x14ac:dyDescent="0.35">
      <c r="B12" s="20">
        <v>7</v>
      </c>
      <c r="C12" s="27"/>
      <c r="D12" s="22"/>
      <c r="E12" s="23"/>
      <c r="F12" s="23"/>
      <c r="G12" s="23"/>
      <c r="H12" s="23"/>
      <c r="I12" s="23"/>
      <c r="J12" s="24"/>
      <c r="K12" s="23"/>
      <c r="L12" s="25"/>
    </row>
    <row r="13" spans="2:12" ht="14.25" customHeight="1" x14ac:dyDescent="0.35">
      <c r="B13" s="20">
        <v>8</v>
      </c>
      <c r="C13" s="27"/>
      <c r="D13" s="22"/>
      <c r="E13" s="23"/>
      <c r="F13" s="23"/>
      <c r="G13" s="23"/>
      <c r="H13" s="23"/>
      <c r="I13" s="23"/>
      <c r="J13" s="24"/>
      <c r="K13" s="23"/>
      <c r="L13" s="25"/>
    </row>
    <row r="14" spans="2:12" ht="14.25" customHeight="1" x14ac:dyDescent="0.35">
      <c r="B14" s="20">
        <v>9</v>
      </c>
      <c r="C14" s="27"/>
      <c r="D14" s="22"/>
      <c r="E14" s="23"/>
      <c r="F14" s="23"/>
      <c r="G14" s="23"/>
      <c r="H14" s="23"/>
      <c r="I14" s="23"/>
      <c r="J14" s="24"/>
      <c r="K14" s="23"/>
      <c r="L14" s="25"/>
    </row>
    <row r="15" spans="2:12" ht="14.25" customHeight="1" x14ac:dyDescent="0.35">
      <c r="B15" s="20">
        <v>10</v>
      </c>
      <c r="C15" s="27"/>
      <c r="D15" s="22"/>
      <c r="E15" s="23"/>
      <c r="F15" s="23"/>
      <c r="G15" s="23"/>
      <c r="H15" s="23"/>
      <c r="I15" s="23"/>
      <c r="J15" s="24"/>
      <c r="K15" s="23"/>
      <c r="L15" s="25"/>
    </row>
    <row r="16" spans="2:12" ht="14.25" customHeight="1" x14ac:dyDescent="0.35">
      <c r="B16" s="20">
        <v>11</v>
      </c>
      <c r="C16" s="28"/>
      <c r="D16" s="22"/>
      <c r="E16" s="23"/>
      <c r="F16" s="23"/>
      <c r="G16" s="23"/>
      <c r="H16" s="23"/>
      <c r="I16" s="23"/>
      <c r="J16" s="24"/>
      <c r="K16" s="23"/>
      <c r="L16" s="25"/>
    </row>
    <row r="17" spans="2:12" ht="14.25" customHeight="1" x14ac:dyDescent="0.35">
      <c r="B17" s="20">
        <v>12</v>
      </c>
      <c r="C17" s="27"/>
      <c r="D17" s="22"/>
      <c r="E17" s="23"/>
      <c r="F17" s="23"/>
      <c r="G17" s="23"/>
      <c r="H17" s="23"/>
      <c r="I17" s="23"/>
      <c r="J17" s="24"/>
      <c r="K17" s="23"/>
      <c r="L17" s="25"/>
    </row>
    <row r="18" spans="2:12" ht="14.25" customHeight="1" x14ac:dyDescent="0.35">
      <c r="B18" s="20">
        <v>13</v>
      </c>
      <c r="C18" s="27"/>
      <c r="D18" s="22"/>
      <c r="E18" s="23"/>
      <c r="F18" s="23"/>
      <c r="G18" s="23"/>
      <c r="H18" s="23"/>
      <c r="I18" s="23"/>
      <c r="J18" s="24"/>
      <c r="K18" s="23"/>
      <c r="L18" s="25"/>
    </row>
    <row r="19" spans="2:12" ht="14.25" customHeight="1" x14ac:dyDescent="0.35">
      <c r="B19" s="29">
        <v>14</v>
      </c>
      <c r="C19" s="30"/>
      <c r="D19" s="31"/>
      <c r="E19" s="32"/>
      <c r="F19" s="32"/>
      <c r="G19" s="32"/>
      <c r="H19" s="32"/>
      <c r="I19" s="32"/>
      <c r="J19" s="33"/>
      <c r="K19" s="32"/>
      <c r="L19" s="34"/>
    </row>
    <row r="20" spans="2:12" ht="14.25" customHeight="1" x14ac:dyDescent="0.35">
      <c r="B20" s="54" t="s">
        <v>13</v>
      </c>
      <c r="C20" s="54"/>
      <c r="D20" s="35">
        <v>0</v>
      </c>
      <c r="E20" s="36">
        <f t="shared" ref="E20:L20" si="0">SUM(E6:E19)</f>
        <v>0</v>
      </c>
      <c r="F20" s="36">
        <f t="shared" si="0"/>
        <v>2</v>
      </c>
      <c r="G20" s="36">
        <f t="shared" si="0"/>
        <v>3.5</v>
      </c>
      <c r="H20" s="36">
        <f t="shared" si="0"/>
        <v>3</v>
      </c>
      <c r="I20" s="36">
        <f t="shared" si="0"/>
        <v>1</v>
      </c>
      <c r="J20" s="37">
        <f t="shared" si="0"/>
        <v>2</v>
      </c>
      <c r="K20" s="37">
        <f t="shared" si="0"/>
        <v>1</v>
      </c>
      <c r="L20" s="38">
        <f t="shared" si="0"/>
        <v>1</v>
      </c>
    </row>
    <row r="21" spans="2:12" ht="14.25" customHeight="1" x14ac:dyDescent="0.35">
      <c r="B21" s="48" t="s">
        <v>14</v>
      </c>
      <c r="C21" s="48"/>
      <c r="D21" s="39">
        <f>SUM(D6:D20)</f>
        <v>20</v>
      </c>
      <c r="E21" s="40">
        <f t="shared" ref="E21:L21" si="1">D21-SUM(E6:E19)</f>
        <v>20</v>
      </c>
      <c r="F21" s="40">
        <f t="shared" si="1"/>
        <v>18</v>
      </c>
      <c r="G21" s="40">
        <f t="shared" si="1"/>
        <v>14.5</v>
      </c>
      <c r="H21" s="40">
        <f t="shared" si="1"/>
        <v>11.5</v>
      </c>
      <c r="I21" s="40">
        <f t="shared" si="1"/>
        <v>10.5</v>
      </c>
      <c r="J21" s="41">
        <f t="shared" si="1"/>
        <v>8.5</v>
      </c>
      <c r="K21" s="42">
        <f t="shared" si="1"/>
        <v>7.5</v>
      </c>
      <c r="L21" s="43">
        <f t="shared" si="1"/>
        <v>6.5</v>
      </c>
    </row>
    <row r="22" spans="2:12" ht="14.25" customHeight="1" x14ac:dyDescent="0.35">
      <c r="B22" s="49" t="s">
        <v>15</v>
      </c>
      <c r="C22" s="49"/>
      <c r="D22" s="44">
        <f>D21</f>
        <v>20</v>
      </c>
      <c r="E22" s="45">
        <f>$D$22-($D$22/10*1)</f>
        <v>18</v>
      </c>
      <c r="F22" s="45">
        <f>$D$22-($D$22/10*2)</f>
        <v>16</v>
      </c>
      <c r="G22" s="45">
        <f>$D$22-($D$22/10*3)</f>
        <v>14</v>
      </c>
      <c r="H22" s="45">
        <f>$D$22-($D$22/10*4)</f>
        <v>12</v>
      </c>
      <c r="I22" s="45">
        <f>$D$22-($D$22/10*5)</f>
        <v>10</v>
      </c>
      <c r="J22" s="46">
        <f>$D$22-($D$22/10*6)</f>
        <v>8</v>
      </c>
      <c r="K22" s="45">
        <f>$D$22-($D$22/10*7)</f>
        <v>6</v>
      </c>
      <c r="L22" s="47">
        <f>$D$22-($D$22/10*8)</f>
        <v>4</v>
      </c>
    </row>
    <row r="23" spans="2:12" ht="14.25" customHeight="1" x14ac:dyDescent="0.35"/>
    <row r="24" spans="2:12" ht="14.25" customHeight="1" x14ac:dyDescent="0.35"/>
    <row r="25" spans="2:12" ht="14.25" customHeight="1" x14ac:dyDescent="0.35"/>
    <row r="26" spans="2:12" ht="14.25" customHeight="1" x14ac:dyDescent="0.35"/>
    <row r="27" spans="2:12" ht="14.25" customHeight="1" x14ac:dyDescent="0.35"/>
    <row r="28" spans="2:12" ht="14.25" customHeight="1" x14ac:dyDescent="0.35"/>
    <row r="29" spans="2:12" ht="14.25" customHeight="1" x14ac:dyDescent="0.35"/>
    <row r="30" spans="2:12" ht="14.25" customHeight="1" x14ac:dyDescent="0.35"/>
    <row r="31" spans="2:12" ht="14.25" customHeight="1" x14ac:dyDescent="0.35"/>
    <row r="32" spans="2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21:C21"/>
    <mergeCell ref="B22:C22"/>
    <mergeCell ref="B2:L2"/>
    <mergeCell ref="E3:I3"/>
    <mergeCell ref="B4:B5"/>
    <mergeCell ref="C4:C5"/>
    <mergeCell ref="B20:C20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Diogo Almeida</dc:creator>
  <dc:description/>
  <cp:lastModifiedBy>Afonso Fernando Bras Rodriguez</cp:lastModifiedBy>
  <cp:revision>1</cp:revision>
  <dcterms:created xsi:type="dcterms:W3CDTF">2021-11-14T17:33:15Z</dcterms:created>
  <dcterms:modified xsi:type="dcterms:W3CDTF">2025-11-17T11:04:02Z</dcterms:modified>
  <dc:language>pt-PT</dc:language>
</cp:coreProperties>
</file>